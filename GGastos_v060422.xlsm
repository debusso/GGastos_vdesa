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ebus\GGastos_v060422_desa\"/>
    </mc:Choice>
  </mc:AlternateContent>
  <xr:revisionPtr revIDLastSave="0" documentId="13_ncr:1_{BF0ACEF0-BCD1-4925-8337-A6887624B41D}" xr6:coauthVersionLast="47" xr6:coauthVersionMax="47" xr10:uidLastSave="{00000000-0000-0000-0000-000000000000}"/>
  <bookViews>
    <workbookView xWindow="-120" yWindow="-120" windowWidth="20730" windowHeight="11160" tabRatio="500" activeTab="1" xr2:uid="{00000000-000D-0000-FFFF-FFFF00000000}"/>
  </bookViews>
  <sheets>
    <sheet name="Menu" sheetId="3" r:id="rId1"/>
    <sheet name="Mensajes" sheetId="61" r:id="rId2"/>
    <sheet name="Ene" sheetId="20" state="hidden" r:id="rId3"/>
    <sheet name="Ene_Debitos" sheetId="21" state="hidden" r:id="rId4"/>
    <sheet name="Ene_Creditos" sheetId="22" state="hidden" r:id="rId5"/>
    <sheet name="Ene_Efectivo" sheetId="23" state="hidden" r:id="rId6"/>
    <sheet name="Feb" sheetId="76" r:id="rId7"/>
    <sheet name="Feb_Debitos" sheetId="77" r:id="rId8"/>
    <sheet name="Feb_Creditos" sheetId="78" r:id="rId9"/>
    <sheet name="Feb_Efectivo" sheetId="79" r:id="rId10"/>
    <sheet name="Mar" sheetId="35" state="hidden" r:id="rId11"/>
    <sheet name="Mar_Debitos" sheetId="36" state="hidden" r:id="rId12"/>
    <sheet name="Mar_Creditos" sheetId="37" state="hidden" r:id="rId13"/>
    <sheet name="Mar_Efectivo" sheetId="38" state="hidden" r:id="rId14"/>
    <sheet name="Impuestos" sheetId="4" r:id="rId15"/>
    <sheet name="Gastos" sheetId="5" r:id="rId16"/>
    <sheet name="Saldo Mensual" sheetId="6" r:id="rId17"/>
    <sheet name="Prestamos" sheetId="7" r:id="rId18"/>
    <sheet name="Plazo Fijo" sheetId="8" r:id="rId19"/>
    <sheet name="CA Dolares" sheetId="9" r:id="rId20"/>
    <sheet name="CSeg Dolares" sheetId="10" r:id="rId21"/>
    <sheet name="Patrimonio" sheetId="11" r:id="rId22"/>
    <sheet name="_xlwings.conf" sheetId="2" state="hidden" r:id="rId23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" i="78" l="1"/>
  <c r="F10" i="78"/>
  <c r="G10" i="78"/>
  <c r="F49" i="77"/>
  <c r="G49" i="77"/>
  <c r="H49" i="77"/>
  <c r="I49" i="77"/>
  <c r="E49" i="77"/>
  <c r="J49" i="77"/>
  <c r="E36" i="9"/>
  <c r="F11" i="4"/>
  <c r="F10" i="4"/>
  <c r="F9" i="4"/>
  <c r="D7" i="5"/>
  <c r="E7" i="5"/>
  <c r="F7" i="5"/>
  <c r="G7" i="5"/>
  <c r="H7" i="5"/>
  <c r="I7" i="5"/>
  <c r="J7" i="5"/>
  <c r="K7" i="5"/>
  <c r="L7" i="5"/>
  <c r="M7" i="5"/>
  <c r="E6" i="37"/>
  <c r="F6" i="37"/>
  <c r="F44" i="36"/>
  <c r="G32" i="36"/>
  <c r="G44" i="36"/>
  <c r="H44" i="36"/>
  <c r="I44" i="36"/>
  <c r="E44" i="36"/>
  <c r="J44" i="36"/>
  <c r="E9" i="38"/>
  <c r="F9" i="38"/>
  <c r="G9" i="38"/>
  <c r="H9" i="38"/>
  <c r="D9" i="38"/>
  <c r="I9" i="38"/>
  <c r="G74" i="21"/>
  <c r="H74" i="21"/>
  <c r="I74" i="21"/>
  <c r="F74" i="21"/>
  <c r="E74" i="21"/>
  <c r="J74" i="21"/>
  <c r="E7" i="22"/>
  <c r="F7" i="22"/>
  <c r="H6" i="23"/>
  <c r="D6" i="23"/>
  <c r="I6" i="23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O9" i="7"/>
  <c r="O8" i="7"/>
  <c r="O7" i="7"/>
  <c r="O6" i="7"/>
  <c r="O5" i="7"/>
  <c r="M11" i="5"/>
  <c r="L11" i="5"/>
  <c r="K11" i="5"/>
  <c r="J11" i="5"/>
  <c r="I11" i="5"/>
  <c r="H11" i="5"/>
  <c r="G11" i="5"/>
  <c r="F11" i="5"/>
  <c r="E11" i="5"/>
  <c r="D11" i="5"/>
  <c r="N7" i="5"/>
  <c r="C7" i="5"/>
  <c r="B7" i="5"/>
</calcChain>
</file>

<file path=xl/sharedStrings.xml><?xml version="1.0" encoding="utf-8"?>
<sst xmlns="http://schemas.openxmlformats.org/spreadsheetml/2006/main" count="1190" uniqueCount="366">
  <si>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</si>
  <si>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</si>
  <si>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</si>
  <si>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</si>
  <si>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</si>
  <si>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</si>
  <si>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</si>
  <si>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</si>
  <si>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</si>
  <si>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</si>
  <si>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</si>
  <si>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</si>
  <si>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</si>
  <si>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</si>
  <si>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</si>
  <si>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Periodo Contabilizado :</t>
  </si>
  <si>
    <t>NOTAS:</t>
  </si>
  <si>
    <t>1ro.) Subir Movimientos BANCOR</t>
  </si>
  <si>
    <t>2do.) Reviso y cargo planillas de Efectivo e Impuestos (tambien puede ser Prestamos)</t>
  </si>
  <si>
    <t>3ro.) Contabilizar Mes Vencido.</t>
  </si>
  <si>
    <t xml:space="preserve">Lo que yo toco en las planillas lo hago con resaltado de color. Entonces, se que fui yo que lo toque. </t>
  </si>
  <si>
    <t>Puedo verificar el Egreso Total contra la Suma de Consumo + Impuestos</t>
  </si>
  <si>
    <t>La columna Gastos de la Planilla Efectivo solo llenar el valor final de todo lo gastado.</t>
  </si>
  <si>
    <t>IMPUESTOS  2022 ( Esta Planilla es en realidad una Planilla de seguimiento)</t>
  </si>
  <si>
    <t>CUOTA 1</t>
  </si>
  <si>
    <t>CUOTA 2</t>
  </si>
  <si>
    <t>CUOTA 3</t>
  </si>
  <si>
    <t>CUOTA 4</t>
  </si>
  <si>
    <t>CUOTA 5</t>
  </si>
  <si>
    <t>CUOTA 6</t>
  </si>
  <si>
    <t>CUOTA 7</t>
  </si>
  <si>
    <t>CUOTA 8</t>
  </si>
  <si>
    <t>CUOTA 9</t>
  </si>
  <si>
    <t>CUOTA 10</t>
  </si>
  <si>
    <t>CUOTA 11</t>
  </si>
  <si>
    <t>CUOTA 12</t>
  </si>
  <si>
    <t>ADMINISTRACION</t>
  </si>
  <si>
    <t>TIPO</t>
  </si>
  <si>
    <t>DESCRIPCION</t>
  </si>
  <si>
    <t>CUENTA</t>
  </si>
  <si>
    <t>PLAN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</si>
  <si>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</si>
  <si>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</si>
  <si>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</si>
  <si>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</si>
  <si>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</si>
  <si>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</si>
  <si>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</si>
  <si>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</si>
  <si>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</si>
  <si>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</si>
  <si>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</si>
  <si>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ENE</t>
  </si>
  <si>
    <t>RENTAS</t>
  </si>
  <si>
    <t>AUTOMOTOR</t>
  </si>
  <si>
    <t>RENAULT SANDERO</t>
  </si>
  <si>
    <t>AA110NA</t>
  </si>
  <si>
    <t>MUNICBA</t>
  </si>
  <si>
    <t>AA110NA4</t>
  </si>
  <si>
    <t>RENAULT DUSTER</t>
  </si>
  <si>
    <t>AB269ST</t>
  </si>
  <si>
    <t>AB269ST3</t>
  </si>
  <si>
    <t>INMUEBLE</t>
  </si>
  <si>
    <t>Lote 13 Pileta VCParque</t>
  </si>
  <si>
    <t>Ledesma y Ceballos 1263 Colinas del Cerro</t>
  </si>
  <si>
    <t>Ledesma y Ceballos 1263 CAPITAL</t>
  </si>
  <si>
    <t>LOTE 14 CASA CHALET WALDEN VCPARQUE</t>
  </si>
  <si>
    <t>COMUVCPARQUE</t>
  </si>
  <si>
    <t>VCPMZ133LT14</t>
  </si>
  <si>
    <t>VCPMZ133LT13</t>
  </si>
  <si>
    <t>AFIP</t>
  </si>
  <si>
    <t>BIENES</t>
  </si>
  <si>
    <t>BIENES PERSONALES</t>
  </si>
  <si>
    <t>20-17534981-3</t>
  </si>
  <si>
    <t>GASTOS   2022</t>
  </si>
  <si>
    <t>GASTOS</t>
  </si>
  <si>
    <t>31-Ene</t>
  </si>
  <si>
    <t>28-Feb</t>
  </si>
  <si>
    <t>31-Mar</t>
  </si>
  <si>
    <t>30-Abr</t>
  </si>
  <si>
    <t>31-May</t>
  </si>
  <si>
    <t>30-Jun</t>
  </si>
  <si>
    <t>31-Jul</t>
  </si>
  <si>
    <t>31-Ago</t>
  </si>
  <si>
    <t>30-Sep</t>
  </si>
  <si>
    <t>31-Oct</t>
  </si>
  <si>
    <t>30-Nov</t>
  </si>
  <si>
    <t>31-Dic</t>
  </si>
  <si>
    <t>ANUAL</t>
  </si>
  <si>
    <t>CONSUMO TARJETAS</t>
  </si>
  <si>
    <t>CONSUMO DEBITADO</t>
  </si>
  <si>
    <t>EFECTIVO GASTADO</t>
  </si>
  <si>
    <t>CONSUMO EXTRAORDINARIO</t>
  </si>
  <si>
    <t>TOTAL CONSUMOS</t>
  </si>
  <si>
    <t>INGRESOS VS CONSUMOS 2022</t>
  </si>
  <si>
    <t>CONCEPTO</t>
  </si>
  <si>
    <t>HABERES</t>
  </si>
  <si>
    <t>EXTRAS</t>
  </si>
  <si>
    <t>TOTAL INGRESOS</t>
  </si>
  <si>
    <t>CONSUMO</t>
  </si>
  <si>
    <t>IMPUESTOS</t>
  </si>
  <si>
    <t>TOTAL EGRESOS</t>
  </si>
  <si>
    <t>AHORRO / DEFICIT</t>
  </si>
  <si>
    <t xml:space="preserve">ESTOY VIENDO MIS INGRESOS GENUINOS CONTRA MI CONSUMO </t>
  </si>
  <si>
    <t>SOLO A LOS FINES DE REGISTRO</t>
  </si>
  <si>
    <t>PRESTAMOS (DEUDA)</t>
  </si>
  <si>
    <t>REGISTRO LA DEVOLUCION DEL PRESTAMO (de un BANCO, YOLY o GABY)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</si>
  <si>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</si>
  <si>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</si>
  <si>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</si>
  <si>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</si>
  <si>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</si>
  <si>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</si>
  <si>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</si>
  <si>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</si>
  <si>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</si>
  <si>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</si>
  <si>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</si>
  <si>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</si>
  <si>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Prestamo Gaby</t>
  </si>
  <si>
    <t>Prestamo Yoly</t>
  </si>
  <si>
    <t>Total Mensual</t>
  </si>
  <si>
    <t>En esta hoja registro los prestamos que me pueda hacer yoly o Gaby. Al momento de cancelar la deuda debe quedar registrada en la hoja "Saldo Mensual". NO ESTAN CONECTADAS POR FORMULAS LAS HOJAS.</t>
  </si>
  <si>
    <t>El prestamo es un consumo exactamente igual que una Tarjeta de Crédito.</t>
  </si>
  <si>
    <t>Febrero: Gaby me presto 10.000 pesos ( YA DEVUELTO CON EL PAGO DE LA PC DE ESCRITORIO QUE COMPRO GABY )</t>
  </si>
  <si>
    <t>GABY me presto 500 Euros que equivalen a 25000 pesos (1 Euro = 50 pesos) para el viaje a Europa.</t>
  </si>
  <si>
    <t>11/06/2019 Transferi 25000 pesos a Gaby y devolvi los 500 Euros = 25000 pesos</t>
  </si>
  <si>
    <t>Fecha Emisión</t>
  </si>
  <si>
    <t>Fecha Vencimiento</t>
  </si>
  <si>
    <t>Capital</t>
  </si>
  <si>
    <t>Interes</t>
  </si>
  <si>
    <t>Total</t>
  </si>
  <si>
    <t>Nombre</t>
  </si>
  <si>
    <t>Tipo</t>
  </si>
  <si>
    <t>Comentario</t>
  </si>
  <si>
    <t>ESTADO</t>
  </si>
  <si>
    <t>Banco</t>
  </si>
  <si>
    <t>Certificado</t>
  </si>
  <si>
    <t>Plazo fijo tradicional Intransferible tradicional en pesos</t>
  </si>
  <si>
    <t>Sin renovacion automatica</t>
  </si>
  <si>
    <t>6900874165</t>
  </si>
  <si>
    <t>ACREDITADO</t>
  </si>
  <si>
    <t>BANCOR</t>
  </si>
  <si>
    <t xml:space="preserve"> </t>
  </si>
  <si>
    <t>Fecha</t>
  </si>
  <si>
    <t>Referencia</t>
  </si>
  <si>
    <t>Credito</t>
  </si>
  <si>
    <t>Debito</t>
  </si>
  <si>
    <t>Saldo</t>
  </si>
  <si>
    <t>DEPOSITO</t>
  </si>
  <si>
    <t>Compre 13000 dolares para inversión</t>
  </si>
  <si>
    <t>DEBITO</t>
  </si>
  <si>
    <t>Cambie 1000 dolares para comprar el equipo de gas al Sandero. Acreditados 36000 pesos en la Caja de Ahorro en pesos.</t>
  </si>
  <si>
    <t>Constanza me pidio que le comprará 100 dolares. (3820 pesos)</t>
  </si>
  <si>
    <t>INTERES</t>
  </si>
  <si>
    <t>Cambie 4639.32 dolares a 43.20 pesos x dolar y acredite 200.418,62 pesos para el pago del Paquete Europa Mundo</t>
  </si>
  <si>
    <t>EXTRACCION</t>
  </si>
  <si>
    <t>Extraccion billete para guardarlos en la Caja de Seguridad debido a la inestabilidad economica en el pais.</t>
  </si>
  <si>
    <t>Compre dolares (me equivoque y compre 100 pesos en lugar de 100 dolares)</t>
  </si>
  <si>
    <t>Compre 98 dolares para ahorro</t>
  </si>
  <si>
    <t>Compra Dolares BANCOR</t>
  </si>
  <si>
    <t>CREDITO</t>
  </si>
  <si>
    <t xml:space="preserve">Crédito Operación de cambio ME plataforma Digital </t>
  </si>
  <si>
    <t xml:space="preserve">Interes por capitalización </t>
  </si>
  <si>
    <t xml:space="preserve">Deposito Inicial Caja de Seguridad. Todos los montos son cash (billete) dolar
</t>
  </si>
  <si>
    <t>Coti me dio 1000 dolares a cambio compro iphone7 y ropa</t>
  </si>
  <si>
    <t>Don Jacinto me dono 10000 dolares</t>
  </si>
  <si>
    <t>Compra Renault Sandero en $ 300.000 pesos De la Caja de Seguridad saque 2600 dolares para Gaby y 2600 dolares  para Yoly (5200)</t>
  </si>
  <si>
    <t>Deposité 7500 dolares. Lo saque de la Caja de Ahorros en Dolares del Banco de Cordoba por la turbulencia economica.</t>
  </si>
  <si>
    <t>COMPRA DE 400 DOLARES USA. (Cambio de 61.00 Pesos x Dolar)</t>
  </si>
  <si>
    <t>COMPRA DE 400 DOLARES USA. (Cambio de 72 Pesos x Dolar)</t>
  </si>
  <si>
    <t>Donacion Jacinto Busso en concepto Venta Casa de calle Apolinario Ribas</t>
  </si>
  <si>
    <t>Efectivo para Viaje Constanza a USA</t>
  </si>
  <si>
    <t>Coti me devolvio 1500 + 3000 dolares que compre en COIN</t>
  </si>
  <si>
    <t>Aqui registramos las inversiones, es decir, la diferencia a mi favor de (Ingresos - Gastos) fue invertido en un plazo fijo o lote o esta en la CA en pesos. La mejoras realizadas en una casa se considera una inversion.</t>
  </si>
  <si>
    <t xml:space="preserve">PATRIMONIO NETO = ACTIVOS - DEUDAS = (Efectivo de Cuentas + Efectivo de Caja de Seguridad + Propiedades + Autos) - DEUDAS </t>
  </si>
  <si>
    <t>Numero de Cuenta</t>
  </si>
  <si>
    <t>Saldo de Efectivo [Pesos]</t>
  </si>
  <si>
    <t>Saldo Caja de Ahorro [Pesos]</t>
  </si>
  <si>
    <t>'90020382809'</t>
  </si>
  <si>
    <t>Saldo Cuenta Corriente [Pesos]</t>
  </si>
  <si>
    <t>'90020382909'</t>
  </si>
  <si>
    <t>Saldo Caja de Ahorro [Dolares]</t>
  </si>
  <si>
    <t>'90016316904'</t>
  </si>
  <si>
    <t>Saldo Caja de Seguridad [Dolares]</t>
  </si>
  <si>
    <t>Plazo Fijo BANCOR</t>
  </si>
  <si>
    <t>Dolares en casa</t>
  </si>
  <si>
    <t>Euros en  casa</t>
  </si>
  <si>
    <t xml:space="preserve">DEUDA O PASIVO </t>
  </si>
  <si>
    <t>PROPIEDADES</t>
  </si>
  <si>
    <t>Casa Colinas del Cerro</t>
  </si>
  <si>
    <t>U$S 250.000</t>
  </si>
  <si>
    <t>Un valor aproximado.</t>
  </si>
  <si>
    <t>Casa Villa Ciudad Parque Calamuchita</t>
  </si>
  <si>
    <t>U$S 125.000</t>
  </si>
  <si>
    <t>Dueño de 1/3 Dpto Casonas del Cerro</t>
  </si>
  <si>
    <t>U$S 150.000</t>
  </si>
  <si>
    <t>Un valor aproximado. Donación de Coqui - Nancy a favor de sus tres hijos firmado el documento el xx/12/2018 Escribana Larcher</t>
  </si>
  <si>
    <t>AUTOMOTORES</t>
  </si>
  <si>
    <t>MARCA</t>
  </si>
  <si>
    <t>MODELO</t>
  </si>
  <si>
    <t>COMPRA [Pesos]</t>
  </si>
  <si>
    <t>COMENTARIOS</t>
  </si>
  <si>
    <t>Ford KA Fly Viral 1.0</t>
  </si>
  <si>
    <t>Julio - 2009</t>
  </si>
  <si>
    <t>lo vendi el 16/11/2018 en 125.000 pesos</t>
  </si>
  <si>
    <t>Renault Duster 1.6 PH2 Privilege</t>
  </si>
  <si>
    <t>2017</t>
  </si>
  <si>
    <t>Compre 0 Kms.</t>
  </si>
  <si>
    <t>Renault Sandero 1.6 PH2 Dinamique</t>
  </si>
  <si>
    <t>2016</t>
  </si>
  <si>
    <t>Compre el 29/11/2018 usado con 20000 Kms</t>
  </si>
  <si>
    <t>Esto donde esta?   Plazo fjo en pesos o dolares, o la compra de un lote o mejoras de construccion, etc o efectivo en la Caja de Ahorro.</t>
  </si>
  <si>
    <t>Concepto</t>
  </si>
  <si>
    <t>Descripcion</t>
  </si>
  <si>
    <t>Monto</t>
  </si>
  <si>
    <t>NroComprobante</t>
  </si>
  <si>
    <t>Compras Maestro POSNet</t>
  </si>
  <si>
    <t>VIUMI*VIDRIOS COLON</t>
  </si>
  <si>
    <t>VIVERO LA NONA</t>
  </si>
  <si>
    <t>CLEMENTE FULL SHOP</t>
  </si>
  <si>
    <t>RUCA QUIMEY</t>
  </si>
  <si>
    <t>DELICIUS</t>
  </si>
  <si>
    <t>Mantenimiento mundo Bancor</t>
  </si>
  <si>
    <t>IVA sobre comisión</t>
  </si>
  <si>
    <t>FRUTOS DE REY</t>
  </si>
  <si>
    <t>CARNES URCA SAS</t>
  </si>
  <si>
    <t>MERCADOPAGO*HIDROBOSS</t>
  </si>
  <si>
    <t>TRANSF.HB.EXENTO</t>
  </si>
  <si>
    <t>23129889209-KRELL JORGE LEONARDO-VAR</t>
  </si>
  <si>
    <t>CASA DE PEDRO</t>
  </si>
  <si>
    <t>FLOR ALPINA</t>
  </si>
  <si>
    <t>PAGO PEI- EXENTO</t>
  </si>
  <si>
    <t>30659863789-SERVICIO ELECTRONICO DE PAGO SA-ECT55697986</t>
  </si>
  <si>
    <t>30659863789-SERVICIO ELECTRONICO DE PAGO SA-ECT55696888</t>
  </si>
  <si>
    <t>MONBIAN</t>
  </si>
  <si>
    <t>MERCADOPAGO*HUJIANPIJG</t>
  </si>
  <si>
    <t>SERVICIOS SAN NICOLAS</t>
  </si>
  <si>
    <t>ANDREA FRANCESCHINI</t>
  </si>
  <si>
    <t>ACUARAMA</t>
  </si>
  <si>
    <t>MERCADOPAGO*FARMACIASO</t>
  </si>
  <si>
    <t>Extracción ATM propio banco</t>
  </si>
  <si>
    <t>AV. RAFAEL NUNEZ 3918 BCO. PROV. DE CORDOBA CORDO</t>
  </si>
  <si>
    <t>ELECTROALEM</t>
  </si>
  <si>
    <t>DE PLANO REPUESTOS</t>
  </si>
  <si>
    <t>27396891781-MARIA FLORENCIA BUSSO-VAR</t>
  </si>
  <si>
    <t>30659863789-SERVICIO ELECTRONICO DE PAGO S-PCT55402149</t>
  </si>
  <si>
    <t>30659863789-SERVICIO ELECTRONICO DE PAGO S-PCT55397061</t>
  </si>
  <si>
    <t>GRIDO</t>
  </si>
  <si>
    <t>LA SUIZA</t>
  </si>
  <si>
    <t>SUS DULZURAS</t>
  </si>
  <si>
    <t>Crédito Transferencia Cajero / HomeBanking</t>
  </si>
  <si>
    <t>20311202554-GOLOBIC/GUSTAVO E-VARVARVarios</t>
  </si>
  <si>
    <t>FARBEN</t>
  </si>
  <si>
    <t>MERCADOPAGO*ELCATA</t>
  </si>
  <si>
    <t>PINTURERIA MAXI COLOR</t>
  </si>
  <si>
    <t>LOS 2 HERMANOS</t>
  </si>
  <si>
    <t>AUTOSERVICIO FERRETERO</t>
  </si>
  <si>
    <t>JULIO A. ROCA S/N BCO. PROV. DE CORDOBA V.G. BELG</t>
  </si>
  <si>
    <t>20223795405-VERGARA GUSTAVO-ALQ</t>
  </si>
  <si>
    <t>Débito automatico recibido Camara</t>
  </si>
  <si>
    <t>TARJNARANJA2</t>
  </si>
  <si>
    <t>FARMACIA DE LA CLINICA</t>
  </si>
  <si>
    <t>TRANSF.  CREDITO HB - GRAVADO SIRCREB</t>
  </si>
  <si>
    <t>27423847218-BUSSO, CONSTANZA CAROL-EXP</t>
  </si>
  <si>
    <t>Débito operación de cambio ME Plat. digital</t>
  </si>
  <si>
    <t>IMPUESTO P.A.I.S.</t>
  </si>
  <si>
    <t>PERCEP GAN. TENENCIA RG 4815/20 - RESTO</t>
  </si>
  <si>
    <t>23239439489-LOLICH, CLAUDIO JESUS-ALQ</t>
  </si>
  <si>
    <t>MERCADO PAGO</t>
  </si>
  <si>
    <t>MERCADOPAGO*FIMPEL</t>
  </si>
  <si>
    <t>MERCADOPAGO*GRANJAMILI</t>
  </si>
  <si>
    <t>MERCADOPAGO*FERRETERAJ</t>
  </si>
  <si>
    <t>MERCADOPAGO*PUESTODELR</t>
  </si>
  <si>
    <t>Pago de resumen desde Cajero / HomeBanking</t>
  </si>
  <si>
    <t>VISA EN PESOS-************7541</t>
  </si>
  <si>
    <t>MERCADOPAGO*FERRETERA</t>
  </si>
  <si>
    <t>COOP DE LUZ Y FZA LTDA</t>
  </si>
  <si>
    <t>Acreditación de Haberes TA</t>
  </si>
  <si>
    <t>EPEC - HABERES</t>
  </si>
  <si>
    <t>CANCELACION ADELANTO DE HABERES</t>
  </si>
  <si>
    <t>COMUN. VA. CIUDAD PARQ</t>
  </si>
  <si>
    <t>Interés saldo deudor cuenta adelanto</t>
  </si>
  <si>
    <t>ALBERDI GNC</t>
  </si>
  <si>
    <t>Extracción ATM no propio</t>
  </si>
  <si>
    <t>AV R MENENDEZ PIDAL 4042 CAJERO EXPRESS        CO</t>
  </si>
  <si>
    <t>Interes por capitalización</t>
  </si>
  <si>
    <t>Columna1</t>
  </si>
  <si>
    <t>Gastos</t>
  </si>
  <si>
    <t>Tarjetas</t>
  </si>
  <si>
    <t>Impuestos</t>
  </si>
  <si>
    <t>Inversiones</t>
  </si>
  <si>
    <t>Extracciones</t>
  </si>
  <si>
    <t>Comentarios</t>
  </si>
  <si>
    <t>Haberes</t>
  </si>
  <si>
    <t>Extras</t>
  </si>
  <si>
    <t>Cabaña</t>
  </si>
  <si>
    <t>varios</t>
  </si>
  <si>
    <t>Varios</t>
  </si>
  <si>
    <t>Alquiler Cabania</t>
  </si>
  <si>
    <t>VIUMI*CARNES EL FARAON</t>
  </si>
  <si>
    <t>23208706454-NAVAS, MARIA GABRIELA-VAR</t>
  </si>
  <si>
    <t>CHICOM SA</t>
  </si>
  <si>
    <t>PANIFICADORA PUGLIESE</t>
  </si>
  <si>
    <t>TRANSF.  CREDITO HB -EXENTO</t>
  </si>
  <si>
    <t>30643990632-GIRE S.A.-PCT000000000945</t>
  </si>
  <si>
    <t>Credito por pago de plazo fijo</t>
  </si>
  <si>
    <t>DEBIN</t>
  </si>
  <si>
    <t>CREDIN - GRAVADO SIRCREB</t>
  </si>
  <si>
    <t>20343702087-Ezequiel Arrieta Ponce-</t>
  </si>
  <si>
    <t>27423847218-BUSSO, CONSTANZA CAROL-SEG</t>
  </si>
  <si>
    <t>MERCADOPAGO*NATYVOS</t>
  </si>
  <si>
    <t>MERCADOPAGO*VETPLANET</t>
  </si>
  <si>
    <t>MERCADOPAGO*ELCATA2022</t>
  </si>
  <si>
    <t>AV. COLON 377 BCO. PROV. DE CORDOBA CORDOBA</t>
  </si>
  <si>
    <t>MERCADOPAGO*VERDELIMON</t>
  </si>
  <si>
    <t>23207862789-MALDONADO  DE LA TORR CARLOS JULIO-VAR</t>
  </si>
  <si>
    <t>20406840043-BUSSO, DAVID FRANCISCO-VAR</t>
  </si>
  <si>
    <t>POSITANO RESTOBAR</t>
  </si>
  <si>
    <t>IMPRENTA MARIELA</t>
  </si>
  <si>
    <t>TRANSF.CRED. IB PLAN INTER./PLUS PAGO PROVEED.</t>
  </si>
  <si>
    <t>30546741253 OSDE ORG. SERV. DIR. EMPR.     1000 5533308563 0</t>
  </si>
  <si>
    <t>27035534771-ANTHONIOZ, YOLANDA ELOISA-VAR</t>
  </si>
  <si>
    <t>27350694736-PEREZ MARCELA ALEJANDRA-VAR</t>
  </si>
  <si>
    <t>27423847218-BUSSO, CONSTANZA CAROL-VAR</t>
  </si>
  <si>
    <t>Compra Cash Back PosNet en Comercio</t>
  </si>
  <si>
    <t>SNOOPY</t>
  </si>
  <si>
    <t>CERROPLAST</t>
  </si>
  <si>
    <t xml:space="preserve">Alimentos </t>
  </si>
  <si>
    <t>Fiesta del Vino VCParque</t>
  </si>
  <si>
    <t>Ayuda Economica Operacion Columna</t>
  </si>
  <si>
    <t>Cobro Elecciones Noviembre 2021</t>
  </si>
  <si>
    <t>Pago de Bodega Yoli + Gaby</t>
  </si>
  <si>
    <t>11/03/202</t>
  </si>
  <si>
    <t>Compre 100 dolares a Constanza</t>
  </si>
  <si>
    <t>Crédito Operación de cambio ME plataforma Digital  100 dolares Constanza</t>
  </si>
  <si>
    <t>Crédito Operación de cambio ME plataforma Digital 100 dolares Constanza</t>
  </si>
  <si>
    <t>970629</t>
  </si>
  <si>
    <t>SIN INV</t>
  </si>
  <si>
    <t>Descontar de Tarjetas el Monto de Impuestos</t>
  </si>
  <si>
    <t>Descontar de Gastos el Monto de Impuestos</t>
  </si>
  <si>
    <t>Descontar 100.000 pesos de Gastos para anular la transferecia (Gasto ya contabilizado)</t>
  </si>
  <si>
    <t>022022</t>
  </si>
  <si>
    <t>MERCADOPAGO*EQUUS</t>
  </si>
  <si>
    <t>30712339442-INSTITUTO TRAUMATOLOGICO DE CO-FAC</t>
  </si>
  <si>
    <t>Extracción en efectivo InterSucursal</t>
  </si>
  <si>
    <t>MERCADOPAGO*AIRESDELAS</t>
  </si>
  <si>
    <t>DSA FCIA CRISTAL</t>
  </si>
  <si>
    <t>27306487510-VIOLA, VALERIA NOEMI-VAR</t>
  </si>
  <si>
    <t>33628302729-FUERZA AEREA ARGENTINA-CUO</t>
  </si>
  <si>
    <t>20411152260-OBERTI FRANCISCO RAUL-VAR</t>
  </si>
  <si>
    <t>TIENDAS BAZAR COM SRL</t>
  </si>
  <si>
    <t>27356112550-RISSO GUILLERMINA-FAC</t>
  </si>
  <si>
    <t>27231976197-REVOL ETELVINA ALEJANDRA-VAR</t>
  </si>
  <si>
    <t>20361463359-SILVI LUCIANO-FAC</t>
  </si>
  <si>
    <t>LA GRUTA</t>
  </si>
  <si>
    <t>M A IMAGENES</t>
  </si>
  <si>
    <t>MES FEBRERO</t>
  </si>
  <si>
    <t>Grabar Nuevo Registro de Plazo Fijo</t>
  </si>
  <si>
    <t>Cancelar Plazo Fijo Fecha</t>
  </si>
  <si>
    <t>Actualizar Nuevo Saldo CA Dolares x Compra de Dolares</t>
  </si>
  <si>
    <t>Actualizar CA Dolares por la Venta de dolares</t>
  </si>
  <si>
    <t>Total :</t>
  </si>
  <si>
    <t>Descontar Impuestos de Tarjeta Naranja</t>
  </si>
  <si>
    <t>Calculo interes Plazo fijo</t>
  </si>
  <si>
    <t>Impuestos debito automatico Naranja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</si>
</sst>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[Red]\-0\ "/>
  </numFmts>
  <fonts count="2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name val="Calibri"/>
      <family val="2"/>
    </font>
    <font>
      <sz val="16"/>
      <color theme="1"/>
      <name val="Calibri"/>
      <family val="2"/>
      <scheme val="minor"/>
    </font>
    <font>
      <b/>
      <sz val="11"/>
      <name val="Calibri"/>
      <family val="2"/>
    </font>
    <font>
      <sz val="10"/>
      <color rgb="FF000000"/>
      <name val="MS Shell Dlg 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6"/>
      <color rgb="FF000000"/>
      <name val="Arial"/>
      <family val="2"/>
    </font>
    <font>
      <strike/>
      <sz val="10"/>
      <color rgb="FF000000"/>
      <name val="Arial"/>
      <family val="2"/>
    </font>
    <font>
      <b/>
      <sz val="11"/>
      <color rgb="FFFFFFFF"/>
      <name val="Calibri"/>
      <family val="2"/>
    </font>
    <font>
      <sz val="16"/>
      <color rgb="FF000000"/>
      <name val="Arial"/>
      <family val="2"/>
    </font>
    <font>
      <sz val="14"/>
      <color rgb="FF000000"/>
      <name val="Arial"/>
      <family val="2"/>
    </font>
    <font>
      <b/>
      <strike/>
      <sz val="10"/>
      <color rgb="FF00000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DDDDDD"/>
      </patternFill>
    </fill>
    <fill>
      <patternFill patternType="solid">
        <fgColor rgb="FFFCD5B4"/>
        <bgColor rgb="FFFCD5B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8CBAD"/>
        <bgColor rgb="FFF8CBAD"/>
      </patternFill>
    </fill>
    <fill>
      <patternFill patternType="solid">
        <fgColor rgb="FFFFE699"/>
        <bgColor rgb="FFFFE699"/>
      </patternFill>
    </fill>
    <fill>
      <patternFill patternType="solid">
        <fgColor rgb="FFFFD966"/>
        <bgColor rgb="FFFFD966"/>
      </patternFill>
    </fill>
    <fill>
      <patternFill patternType="solid">
        <fgColor rgb="FFDDEBF7"/>
        <bgColor rgb="FFDDEBF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339966"/>
        <bgColor rgb="FF339966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12" fillId="0" borderId="0"/>
    <xf numFmtId="0" fontId="21" fillId="0" borderId="0"/>
  </cellStyleXfs>
  <cellXfs count="319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49" fontId="4" fillId="2" borderId="0" xfId="0" applyNumberFormat="1" applyFont="1" applyFill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left" vertical="top"/>
    </xf>
    <xf numFmtId="0" fontId="3" fillId="0" borderId="0" xfId="1"/>
    <xf numFmtId="0" fontId="8" fillId="4" borderId="1" xfId="1" applyFont="1" applyFill="1" applyBorder="1" applyAlignment="1">
      <alignment horizontal="left" vertical="center" wrapText="1"/>
    </xf>
    <xf numFmtId="49" fontId="8" fillId="4" borderId="1" xfId="1" applyNumberFormat="1" applyFont="1" applyFill="1" applyBorder="1" applyAlignment="1">
      <alignment horizontal="center" vertical="center" wrapText="1"/>
    </xf>
    <xf numFmtId="0" fontId="8" fillId="4" borderId="1" xfId="1" applyFont="1" applyFill="1" applyBorder="1" applyAlignment="1">
      <alignment horizontal="center" vertical="center" wrapText="1"/>
    </xf>
    <xf numFmtId="0" fontId="8" fillId="4" borderId="2" xfId="1" applyFont="1" applyFill="1" applyBorder="1" applyAlignment="1">
      <alignment horizontal="left" vertical="center" wrapText="1"/>
    </xf>
    <xf numFmtId="0" fontId="8" fillId="4" borderId="3" xfId="1" applyFont="1" applyFill="1" applyBorder="1" applyAlignment="1">
      <alignment horizontal="left" vertical="center" wrapText="1"/>
    </xf>
    <xf numFmtId="49" fontId="8" fillId="4" borderId="3" xfId="1" applyNumberFormat="1" applyFont="1" applyFill="1" applyBorder="1" applyAlignment="1">
      <alignment horizontal="center" vertical="center" wrapText="1"/>
    </xf>
    <xf numFmtId="0" fontId="8" fillId="4" borderId="3" xfId="1" applyFont="1" applyFill="1" applyBorder="1" applyAlignment="1">
      <alignment horizontal="center" vertical="center" wrapText="1"/>
    </xf>
    <xf numFmtId="0" fontId="8" fillId="4" borderId="4" xfId="1" applyFont="1" applyFill="1" applyBorder="1" applyAlignment="1">
      <alignment horizontal="center" vertical="center" wrapText="1"/>
    </xf>
    <xf numFmtId="0" fontId="3" fillId="0" borderId="5" xfId="1" applyBorder="1" applyAlignment="1">
      <alignment horizontal="left" vertical="center"/>
    </xf>
    <xf numFmtId="0" fontId="3" fillId="0" borderId="1" xfId="1" applyBorder="1" applyAlignment="1">
      <alignment horizontal="left" vertical="center"/>
    </xf>
    <xf numFmtId="49" fontId="3" fillId="0" borderId="1" xfId="1" applyNumberForma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2" fontId="3" fillId="0" borderId="1" xfId="1" applyNumberFormat="1" applyBorder="1" applyAlignment="1">
      <alignment vertical="center"/>
    </xf>
    <xf numFmtId="2" fontId="3" fillId="0" borderId="6" xfId="1" applyNumberFormat="1" applyBorder="1" applyAlignment="1">
      <alignment vertical="center"/>
    </xf>
    <xf numFmtId="0" fontId="3" fillId="5" borderId="5" xfId="1" applyFill="1" applyBorder="1" applyAlignment="1">
      <alignment horizontal="left" vertical="center"/>
    </xf>
    <xf numFmtId="0" fontId="3" fillId="5" borderId="1" xfId="1" applyFill="1" applyBorder="1" applyAlignment="1">
      <alignment horizontal="left" vertical="center"/>
    </xf>
    <xf numFmtId="49" fontId="3" fillId="5" borderId="1" xfId="1" applyNumberFormat="1" applyFill="1" applyBorder="1" applyAlignment="1">
      <alignment horizontal="center" vertical="center"/>
    </xf>
    <xf numFmtId="0" fontId="3" fillId="5" borderId="1" xfId="1" applyFill="1" applyBorder="1" applyAlignment="1">
      <alignment horizontal="center" vertical="center"/>
    </xf>
    <xf numFmtId="2" fontId="3" fillId="5" borderId="1" xfId="1" applyNumberFormat="1" applyFill="1" applyBorder="1" applyAlignment="1">
      <alignment vertical="center"/>
    </xf>
    <xf numFmtId="2" fontId="3" fillId="5" borderId="6" xfId="1" applyNumberFormat="1" applyFill="1" applyBorder="1" applyAlignment="1">
      <alignment vertical="center"/>
    </xf>
    <xf numFmtId="1" fontId="3" fillId="0" borderId="1" xfId="1" applyNumberFormat="1" applyBorder="1" applyAlignment="1">
      <alignment horizontal="center" vertical="center"/>
    </xf>
    <xf numFmtId="1" fontId="3" fillId="5" borderId="1" xfId="1" applyNumberForma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left" vertical="center" wrapText="1"/>
    </xf>
    <xf numFmtId="0" fontId="3" fillId="6" borderId="1" xfId="1" applyFill="1" applyBorder="1" applyAlignment="1">
      <alignment horizontal="left" vertical="center"/>
    </xf>
    <xf numFmtId="49" fontId="9" fillId="6" borderId="1" xfId="0" applyNumberFormat="1" applyFont="1" applyFill="1" applyBorder="1" applyAlignment="1">
      <alignment horizontal="center" vertical="center" wrapText="1"/>
    </xf>
    <xf numFmtId="0" fontId="3" fillId="6" borderId="1" xfId="1" applyFill="1" applyBorder="1" applyAlignment="1">
      <alignment horizontal="center" vertical="center"/>
    </xf>
    <xf numFmtId="2" fontId="3" fillId="6" borderId="1" xfId="1" applyNumberFormat="1" applyFill="1" applyBorder="1"/>
    <xf numFmtId="2" fontId="3" fillId="6" borderId="6" xfId="1" applyNumberFormat="1" applyFill="1" applyBorder="1"/>
    <xf numFmtId="0" fontId="3" fillId="2" borderId="7" xfId="1" applyFill="1" applyBorder="1" applyAlignment="1">
      <alignment horizontal="left" vertical="center"/>
    </xf>
    <xf numFmtId="0" fontId="3" fillId="2" borderId="8" xfId="1" applyFill="1" applyBorder="1" applyAlignment="1">
      <alignment horizontal="left" vertical="center"/>
    </xf>
    <xf numFmtId="49" fontId="9" fillId="2" borderId="8" xfId="0" applyNumberFormat="1" applyFont="1" applyFill="1" applyBorder="1" applyAlignment="1">
      <alignment horizontal="center" vertical="center" wrapText="1"/>
    </xf>
    <xf numFmtId="0" fontId="3" fillId="2" borderId="8" xfId="1" applyFill="1" applyBorder="1" applyAlignment="1">
      <alignment horizontal="center" vertical="center"/>
    </xf>
    <xf numFmtId="2" fontId="3" fillId="2" borderId="8" xfId="1" applyNumberFormat="1" applyFill="1" applyBorder="1"/>
    <xf numFmtId="2" fontId="3" fillId="2" borderId="9" xfId="1" applyNumberFormat="1" applyFill="1" applyBorder="1"/>
    <xf numFmtId="0" fontId="3" fillId="0" borderId="0" xfId="1" applyAlignment="1">
      <alignment horizontal="left" vertical="center"/>
    </xf>
    <xf numFmtId="2" fontId="3" fillId="0" borderId="0" xfId="1" applyNumberFormat="1" applyAlignment="1">
      <alignment horizontal="center" vertical="center"/>
    </xf>
    <xf numFmtId="49" fontId="3" fillId="0" borderId="0" xfId="1" applyNumberFormat="1" applyAlignment="1">
      <alignment horizontal="center" vertical="center"/>
    </xf>
    <xf numFmtId="0" fontId="3" fillId="0" borderId="0" xfId="1" applyAlignment="1">
      <alignment horizontal="center" vertical="center"/>
    </xf>
    <xf numFmtId="49" fontId="8" fillId="4" borderId="16" xfId="1" quotePrefix="1" applyNumberFormat="1" applyFont="1" applyFill="1" applyBorder="1" applyAlignment="1">
      <alignment horizontal="center" vertical="center"/>
    </xf>
    <xf numFmtId="49" fontId="8" fillId="4" borderId="17" xfId="1" applyNumberFormat="1" applyFont="1" applyFill="1" applyBorder="1" applyAlignment="1">
      <alignment horizontal="center" vertical="center"/>
    </xf>
    <xf numFmtId="49" fontId="8" fillId="4" borderId="18" xfId="1" applyNumberFormat="1" applyFont="1" applyFill="1" applyBorder="1" applyAlignment="1">
      <alignment horizontal="center" vertical="center"/>
    </xf>
    <xf numFmtId="49" fontId="3" fillId="0" borderId="19" xfId="1" applyNumberFormat="1" applyBorder="1" applyAlignment="1">
      <alignment horizontal="center" vertical="center"/>
    </xf>
    <xf numFmtId="49" fontId="3" fillId="0" borderId="21" xfId="1" applyNumberFormat="1" applyBorder="1" applyAlignment="1">
      <alignment horizontal="center" vertical="center"/>
    </xf>
    <xf numFmtId="49" fontId="3" fillId="0" borderId="23" xfId="1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3" fillId="4" borderId="1" xfId="1" applyFill="1" applyBorder="1" applyAlignment="1">
      <alignment horizontal="center" vertical="center"/>
    </xf>
    <xf numFmtId="2" fontId="3" fillId="4" borderId="1" xfId="1" applyNumberFormat="1" applyFill="1" applyBorder="1" applyAlignment="1">
      <alignment vertical="center"/>
    </xf>
    <xf numFmtId="49" fontId="8" fillId="0" borderId="16" xfId="1" quotePrefix="1" applyNumberFormat="1" applyFont="1" applyBorder="1" applyAlignment="1">
      <alignment horizontal="center" vertical="center"/>
    </xf>
    <xf numFmtId="49" fontId="8" fillId="0" borderId="17" xfId="1" applyNumberFormat="1" applyFont="1" applyBorder="1" applyAlignment="1">
      <alignment horizontal="center" vertical="center"/>
    </xf>
    <xf numFmtId="49" fontId="8" fillId="0" borderId="18" xfId="1" applyNumberFormat="1" applyFont="1" applyBorder="1" applyAlignment="1">
      <alignment horizontal="center" vertical="center"/>
    </xf>
    <xf numFmtId="49" fontId="5" fillId="7" borderId="3" xfId="1" applyNumberFormat="1" applyFont="1" applyFill="1" applyBorder="1" applyAlignment="1">
      <alignment horizontal="right" vertical="center"/>
    </xf>
    <xf numFmtId="1" fontId="3" fillId="7" borderId="3" xfId="1" applyNumberFormat="1" applyFill="1" applyBorder="1" applyAlignment="1">
      <alignment vertical="center"/>
    </xf>
    <xf numFmtId="1" fontId="5" fillId="7" borderId="3" xfId="1" applyNumberFormat="1" applyFont="1" applyFill="1" applyBorder="1" applyAlignment="1">
      <alignment vertical="center"/>
    </xf>
    <xf numFmtId="49" fontId="5" fillId="7" borderId="1" xfId="1" applyNumberFormat="1" applyFont="1" applyFill="1" applyBorder="1" applyAlignment="1">
      <alignment horizontal="right" vertical="center"/>
    </xf>
    <xf numFmtId="1" fontId="3" fillId="7" borderId="1" xfId="1" applyNumberFormat="1" applyFill="1" applyBorder="1" applyAlignment="1">
      <alignment vertical="center"/>
    </xf>
    <xf numFmtId="1" fontId="5" fillId="7" borderId="1" xfId="1" applyNumberFormat="1" applyFont="1" applyFill="1" applyBorder="1" applyAlignment="1">
      <alignment vertical="center"/>
    </xf>
    <xf numFmtId="49" fontId="5" fillId="8" borderId="1" xfId="1" applyNumberFormat="1" applyFont="1" applyFill="1" applyBorder="1" applyAlignment="1">
      <alignment horizontal="right" vertical="center"/>
    </xf>
    <xf numFmtId="1" fontId="3" fillId="8" borderId="1" xfId="1" applyNumberFormat="1" applyFill="1" applyBorder="1" applyAlignment="1">
      <alignment vertical="center"/>
    </xf>
    <xf numFmtId="1" fontId="5" fillId="8" borderId="1" xfId="1" applyNumberFormat="1" applyFont="1" applyFill="1" applyBorder="1" applyAlignment="1">
      <alignment vertical="center"/>
    </xf>
    <xf numFmtId="49" fontId="5" fillId="9" borderId="1" xfId="1" applyNumberFormat="1" applyFont="1" applyFill="1" applyBorder="1" applyAlignment="1">
      <alignment horizontal="right" vertical="center"/>
    </xf>
    <xf numFmtId="1" fontId="3" fillId="9" borderId="1" xfId="1" applyNumberFormat="1" applyFill="1" applyBorder="1" applyAlignment="1">
      <alignment vertical="center"/>
    </xf>
    <xf numFmtId="1" fontId="5" fillId="9" borderId="1" xfId="1" applyNumberFormat="1" applyFont="1" applyFill="1" applyBorder="1" applyAlignment="1">
      <alignment vertical="center"/>
    </xf>
    <xf numFmtId="49" fontId="5" fillId="10" borderId="1" xfId="1" applyNumberFormat="1" applyFont="1" applyFill="1" applyBorder="1" applyAlignment="1">
      <alignment horizontal="right" vertical="center"/>
    </xf>
    <xf numFmtId="1" fontId="3" fillId="10" borderId="1" xfId="1" applyNumberFormat="1" applyFill="1" applyBorder="1" applyAlignment="1">
      <alignment vertical="center"/>
    </xf>
    <xf numFmtId="1" fontId="5" fillId="10" borderId="1" xfId="1" applyNumberFormat="1" applyFont="1" applyFill="1" applyBorder="1" applyAlignment="1">
      <alignment vertical="center"/>
    </xf>
    <xf numFmtId="49" fontId="5" fillId="11" borderId="1" xfId="1" applyNumberFormat="1" applyFont="1" applyFill="1" applyBorder="1" applyAlignment="1">
      <alignment horizontal="right" vertical="center"/>
    </xf>
    <xf numFmtId="164" fontId="5" fillId="11" borderId="1" xfId="1" applyNumberFormat="1" applyFont="1" applyFill="1" applyBorder="1" applyAlignment="1">
      <alignment vertical="center"/>
    </xf>
    <xf numFmtId="2" fontId="13" fillId="0" borderId="0" xfId="2" applyNumberFormat="1" applyFont="1" applyAlignment="1">
      <alignment horizontal="center" vertical="center"/>
    </xf>
    <xf numFmtId="2" fontId="12" fillId="0" borderId="0" xfId="2" applyNumberFormat="1"/>
    <xf numFmtId="0" fontId="12" fillId="0" borderId="0" xfId="2"/>
    <xf numFmtId="2" fontId="12" fillId="0" borderId="0" xfId="2" applyNumberFormat="1" applyAlignment="1">
      <alignment horizontal="center" vertical="center" wrapText="1"/>
    </xf>
    <xf numFmtId="0" fontId="14" fillId="0" borderId="29" xfId="2" applyFont="1" applyBorder="1" applyAlignment="1">
      <alignment horizontal="center" vertical="center"/>
    </xf>
    <xf numFmtId="2" fontId="13" fillId="0" borderId="13" xfId="2" applyNumberFormat="1" applyFont="1" applyBorder="1" applyAlignment="1">
      <alignment horizontal="center" vertical="center"/>
    </xf>
    <xf numFmtId="2" fontId="13" fillId="0" borderId="29" xfId="2" applyNumberFormat="1" applyFont="1" applyBorder="1" applyAlignment="1">
      <alignment horizontal="center" vertical="center"/>
    </xf>
    <xf numFmtId="2" fontId="13" fillId="0" borderId="14" xfId="2" applyNumberFormat="1" applyFont="1" applyBorder="1" applyAlignment="1">
      <alignment horizontal="center" vertical="center"/>
    </xf>
    <xf numFmtId="1" fontId="13" fillId="0" borderId="29" xfId="2" applyNumberFormat="1" applyFont="1" applyBorder="1" applyAlignment="1">
      <alignment horizontal="center" vertical="center"/>
    </xf>
    <xf numFmtId="0" fontId="13" fillId="14" borderId="29" xfId="2" applyFont="1" applyFill="1" applyBorder="1" applyAlignment="1">
      <alignment horizontal="center" vertical="center"/>
    </xf>
    <xf numFmtId="3" fontId="12" fillId="14" borderId="30" xfId="2" applyNumberFormat="1" applyFill="1" applyBorder="1" applyAlignment="1">
      <alignment horizontal="center" vertical="center"/>
    </xf>
    <xf numFmtId="3" fontId="15" fillId="14" borderId="17" xfId="2" applyNumberFormat="1" applyFont="1" applyFill="1" applyBorder="1" applyAlignment="1">
      <alignment horizontal="center" vertical="center"/>
    </xf>
    <xf numFmtId="3" fontId="12" fillId="14" borderId="17" xfId="2" applyNumberFormat="1" applyFill="1" applyBorder="1" applyAlignment="1">
      <alignment horizontal="center" vertical="center"/>
    </xf>
    <xf numFmtId="3" fontId="12" fillId="14" borderId="18" xfId="2" applyNumberFormat="1" applyFill="1" applyBorder="1" applyAlignment="1">
      <alignment horizontal="center" vertical="center"/>
    </xf>
    <xf numFmtId="3" fontId="12" fillId="14" borderId="29" xfId="2" applyNumberFormat="1" applyFill="1" applyBorder="1" applyAlignment="1">
      <alignment horizontal="center" vertical="center"/>
    </xf>
    <xf numFmtId="0" fontId="13" fillId="12" borderId="29" xfId="2" applyFont="1" applyFill="1" applyBorder="1" applyAlignment="1">
      <alignment horizontal="center" vertical="center"/>
    </xf>
    <xf numFmtId="3" fontId="12" fillId="12" borderId="30" xfId="2" applyNumberFormat="1" applyFill="1" applyBorder="1" applyAlignment="1">
      <alignment horizontal="center" vertical="center"/>
    </xf>
    <xf numFmtId="3" fontId="15" fillId="12" borderId="17" xfId="2" applyNumberFormat="1" applyFont="1" applyFill="1" applyBorder="1" applyAlignment="1">
      <alignment horizontal="center" vertical="center"/>
    </xf>
    <xf numFmtId="3" fontId="12" fillId="12" borderId="17" xfId="2" applyNumberFormat="1" applyFill="1" applyBorder="1" applyAlignment="1">
      <alignment horizontal="center" vertical="center"/>
    </xf>
    <xf numFmtId="3" fontId="12" fillId="12" borderId="31" xfId="2" applyNumberFormat="1" applyFill="1" applyBorder="1" applyAlignment="1">
      <alignment horizontal="center" vertical="center"/>
    </xf>
    <xf numFmtId="3" fontId="12" fillId="12" borderId="29" xfId="2" applyNumberFormat="1" applyFill="1" applyBorder="1" applyAlignment="1">
      <alignment horizontal="center" vertical="center"/>
    </xf>
    <xf numFmtId="0" fontId="12" fillId="0" borderId="32" xfId="2" applyBorder="1" applyAlignment="1">
      <alignment horizontal="center" vertical="center"/>
    </xf>
    <xf numFmtId="3" fontId="12" fillId="0" borderId="2" xfId="2" applyNumberFormat="1" applyBorder="1" applyAlignment="1">
      <alignment horizontal="center" vertical="center"/>
    </xf>
    <xf numFmtId="3" fontId="15" fillId="0" borderId="3" xfId="2" applyNumberFormat="1" applyFont="1" applyBorder="1" applyAlignment="1">
      <alignment horizontal="center" vertical="center"/>
    </xf>
    <xf numFmtId="3" fontId="12" fillId="0" borderId="3" xfId="2" applyNumberFormat="1" applyBorder="1" applyAlignment="1">
      <alignment horizontal="center" vertical="center"/>
    </xf>
    <xf numFmtId="3" fontId="12" fillId="0" borderId="4" xfId="2" applyNumberFormat="1" applyBorder="1" applyAlignment="1">
      <alignment horizontal="center" vertical="center"/>
    </xf>
    <xf numFmtId="3" fontId="12" fillId="0" borderId="33" xfId="2" applyNumberFormat="1" applyBorder="1" applyAlignment="1">
      <alignment horizontal="center" vertical="center"/>
    </xf>
    <xf numFmtId="0" fontId="12" fillId="0" borderId="34" xfId="2" applyBorder="1" applyAlignment="1">
      <alignment horizontal="center" vertical="center"/>
    </xf>
    <xf numFmtId="3" fontId="12" fillId="0" borderId="5" xfId="2" applyNumberFormat="1" applyBorder="1" applyAlignment="1">
      <alignment horizontal="center" vertical="center"/>
    </xf>
    <xf numFmtId="3" fontId="15" fillId="0" borderId="1" xfId="2" applyNumberFormat="1" applyFont="1" applyBorder="1" applyAlignment="1">
      <alignment horizontal="center" vertical="center"/>
    </xf>
    <xf numFmtId="3" fontId="12" fillId="0" borderId="1" xfId="2" applyNumberFormat="1" applyBorder="1" applyAlignment="1">
      <alignment horizontal="center" vertical="center"/>
    </xf>
    <xf numFmtId="3" fontId="12" fillId="0" borderId="6" xfId="2" applyNumberFormat="1" applyBorder="1" applyAlignment="1">
      <alignment horizontal="center" vertical="center"/>
    </xf>
    <xf numFmtId="3" fontId="12" fillId="0" borderId="29" xfId="2" applyNumberFormat="1" applyBorder="1" applyAlignment="1">
      <alignment horizontal="center" vertical="center"/>
    </xf>
    <xf numFmtId="0" fontId="12" fillId="0" borderId="35" xfId="2" applyBorder="1" applyAlignment="1">
      <alignment horizontal="center" vertical="center"/>
    </xf>
    <xf numFmtId="0" fontId="13" fillId="2" borderId="29" xfId="2" applyFont="1" applyFill="1" applyBorder="1" applyAlignment="1">
      <alignment horizontal="center" vertical="center"/>
    </xf>
    <xf numFmtId="3" fontId="12" fillId="2" borderId="13" xfId="2" applyNumberFormat="1" applyFill="1" applyBorder="1" applyAlignment="1">
      <alignment horizontal="center" vertical="center"/>
    </xf>
    <xf numFmtId="3" fontId="15" fillId="2" borderId="13" xfId="2" applyNumberFormat="1" applyFont="1" applyFill="1" applyBorder="1" applyAlignment="1">
      <alignment horizontal="center" vertical="center"/>
    </xf>
    <xf numFmtId="3" fontId="12" fillId="2" borderId="29" xfId="2" applyNumberFormat="1" applyFill="1" applyBorder="1" applyAlignment="1">
      <alignment horizontal="center" vertical="center"/>
    </xf>
    <xf numFmtId="2" fontId="13" fillId="13" borderId="0" xfId="2" applyNumberFormat="1" applyFont="1" applyFill="1" applyAlignment="1">
      <alignment horizontal="left" vertical="center" wrapText="1"/>
    </xf>
    <xf numFmtId="2" fontId="13" fillId="0" borderId="0" xfId="2" applyNumberFormat="1" applyFont="1" applyAlignment="1">
      <alignment horizontal="left" vertical="center" wrapText="1"/>
    </xf>
    <xf numFmtId="0" fontId="12" fillId="0" borderId="0" xfId="2" applyAlignment="1">
      <alignment horizontal="left" vertical="center" wrapText="1"/>
    </xf>
    <xf numFmtId="0" fontId="17" fillId="0" borderId="0" xfId="2" applyFont="1" applyAlignment="1">
      <alignment horizontal="center" vertical="center"/>
    </xf>
    <xf numFmtId="0" fontId="17" fillId="0" borderId="0" xfId="2" applyFont="1" applyAlignment="1">
      <alignment vertical="center"/>
    </xf>
    <xf numFmtId="49" fontId="14" fillId="0" borderId="44" xfId="2" applyNumberFormat="1" applyFont="1" applyBorder="1" applyAlignment="1">
      <alignment horizontal="center" vertical="center"/>
    </xf>
    <xf numFmtId="49" fontId="13" fillId="0" borderId="44" xfId="2" applyNumberFormat="1" applyFont="1" applyBorder="1" applyAlignment="1">
      <alignment horizontal="center" vertical="center"/>
    </xf>
    <xf numFmtId="49" fontId="19" fillId="20" borderId="45" xfId="2" applyNumberFormat="1" applyFont="1" applyFill="1" applyBorder="1" applyAlignment="1">
      <alignment horizontal="right" vertical="center"/>
    </xf>
    <xf numFmtId="49" fontId="19" fillId="20" borderId="47" xfId="2" applyNumberFormat="1" applyFont="1" applyFill="1" applyBorder="1" applyAlignment="1">
      <alignment horizontal="center" vertical="center"/>
    </xf>
    <xf numFmtId="49" fontId="13" fillId="21" borderId="21" xfId="2" applyNumberFormat="1" applyFont="1" applyFill="1" applyBorder="1" applyAlignment="1">
      <alignment horizontal="right" vertical="center"/>
    </xf>
    <xf numFmtId="2" fontId="12" fillId="0" borderId="0" xfId="2" applyNumberFormat="1" applyAlignment="1">
      <alignment horizontal="center" vertical="center"/>
    </xf>
    <xf numFmtId="49" fontId="22" fillId="12" borderId="23" xfId="3" applyNumberFormat="1" applyFont="1" applyFill="1" applyBorder="1" applyAlignment="1">
      <alignment horizontal="right" vertical="center" wrapText="1"/>
    </xf>
    <xf numFmtId="0" fontId="13" fillId="0" borderId="0" xfId="2" applyFont="1" applyAlignment="1">
      <alignment vertical="center"/>
    </xf>
    <xf numFmtId="49" fontId="22" fillId="12" borderId="0" xfId="3" applyNumberFormat="1" applyFont="1" applyFill="1" applyAlignment="1">
      <alignment horizontal="right" vertical="center" wrapText="1"/>
    </xf>
    <xf numFmtId="3" fontId="21" fillId="12" borderId="0" xfId="3" applyNumberFormat="1" applyFill="1" applyAlignment="1">
      <alignment horizontal="center" vertical="center" wrapText="1"/>
    </xf>
    <xf numFmtId="3" fontId="12" fillId="12" borderId="0" xfId="2" applyNumberFormat="1" applyFill="1" applyAlignment="1">
      <alignment horizontal="center" vertical="center"/>
    </xf>
    <xf numFmtId="49" fontId="12" fillId="12" borderId="0" xfId="2" applyNumberFormat="1" applyFill="1" applyAlignment="1">
      <alignment vertical="center"/>
    </xf>
    <xf numFmtId="49" fontId="22" fillId="20" borderId="16" xfId="3" applyNumberFormat="1" applyFont="1" applyFill="1" applyBorder="1" applyAlignment="1">
      <alignment horizontal="right" vertical="center" wrapText="1"/>
    </xf>
    <xf numFmtId="2" fontId="21" fillId="20" borderId="17" xfId="3" applyNumberFormat="1" applyFill="1" applyBorder="1" applyAlignment="1">
      <alignment horizontal="center" vertical="center" wrapText="1"/>
    </xf>
    <xf numFmtId="2" fontId="12" fillId="20" borderId="17" xfId="2" applyNumberFormat="1" applyFill="1" applyBorder="1" applyAlignment="1">
      <alignment horizontal="center" vertical="center"/>
    </xf>
    <xf numFmtId="49" fontId="12" fillId="20" borderId="18" xfId="2" applyNumberFormat="1" applyFill="1" applyBorder="1" applyAlignment="1">
      <alignment vertical="center"/>
    </xf>
    <xf numFmtId="0" fontId="12" fillId="0" borderId="0" xfId="2" applyAlignment="1">
      <alignment horizontal="right" vertical="center"/>
    </xf>
    <xf numFmtId="0" fontId="12" fillId="0" borderId="0" xfId="2" applyAlignment="1">
      <alignment vertical="center"/>
    </xf>
    <xf numFmtId="17" fontId="12" fillId="0" borderId="0" xfId="2" applyNumberFormat="1"/>
    <xf numFmtId="2" fontId="12" fillId="0" borderId="0" xfId="2" applyNumberFormat="1" applyAlignment="1">
      <alignment horizontal="right"/>
    </xf>
    <xf numFmtId="14" fontId="12" fillId="0" borderId="0" xfId="2" applyNumberFormat="1" applyAlignment="1">
      <alignment horizontal="center" vertical="center"/>
    </xf>
    <xf numFmtId="49" fontId="12" fillId="0" borderId="0" xfId="2" applyNumberFormat="1" applyAlignment="1">
      <alignment horizontal="center" vertical="center"/>
    </xf>
    <xf numFmtId="3" fontId="12" fillId="0" borderId="0" xfId="2" applyNumberFormat="1" applyAlignment="1">
      <alignment horizontal="center" vertical="center"/>
    </xf>
    <xf numFmtId="0" fontId="20" fillId="0" borderId="0" xfId="2" applyFont="1" applyAlignment="1">
      <alignment horizontal="center" vertical="center" wrapText="1"/>
    </xf>
    <xf numFmtId="14" fontId="0" fillId="0" borderId="0" xfId="0" applyNumberFormat="1"/>
    <xf numFmtId="2" fontId="0" fillId="0" borderId="0" xfId="0" applyNumberFormat="1"/>
    <xf numFmtId="2" fontId="0" fillId="20" borderId="0" xfId="0" applyNumberFormat="1" applyFill="1"/>
    <xf numFmtId="1" fontId="3" fillId="0" borderId="3" xfId="1" applyNumberFormat="1" applyBorder="1" applyAlignment="1">
      <alignment vertical="center"/>
    </xf>
    <xf numFmtId="1" fontId="3" fillId="0" borderId="20" xfId="1" applyNumberFormat="1" applyBorder="1" applyAlignment="1">
      <alignment vertical="center"/>
    </xf>
    <xf numFmtId="1" fontId="3" fillId="0" borderId="1" xfId="1" applyNumberFormat="1" applyBorder="1" applyAlignment="1">
      <alignment vertical="center"/>
    </xf>
    <xf numFmtId="1" fontId="3" fillId="0" borderId="22" xfId="1" applyNumberFormat="1" applyBorder="1" applyAlignment="1">
      <alignment vertical="center"/>
    </xf>
    <xf numFmtId="1" fontId="3" fillId="0" borderId="24" xfId="1" applyNumberFormat="1" applyBorder="1" applyAlignment="1">
      <alignment vertical="center"/>
    </xf>
    <xf numFmtId="1" fontId="3" fillId="0" borderId="25" xfId="1" applyNumberFormat="1" applyBorder="1" applyAlignment="1">
      <alignment vertical="center"/>
    </xf>
    <xf numFmtId="14" fontId="0" fillId="20" borderId="0" xfId="0" applyNumberFormat="1" applyFill="1"/>
    <xf numFmtId="0" fontId="0" fillId="20" borderId="0" xfId="0" applyFill="1"/>
    <xf numFmtId="0" fontId="12" fillId="0" borderId="0" xfId="2" applyAlignment="1">
      <alignment horizontal="left" vertical="center"/>
    </xf>
    <xf numFmtId="2" fontId="0" fillId="0" borderId="0" xfId="0" applyNumberFormat="1" applyFill="1"/>
    <xf numFmtId="1" fontId="2" fillId="0" borderId="26" xfId="0" applyNumberFormat="1" applyFont="1" applyBorder="1" applyAlignment="1">
      <alignment vertical="center"/>
    </xf>
    <xf numFmtId="0" fontId="2" fillId="0" borderId="12" xfId="0" applyFont="1" applyBorder="1" applyAlignment="1">
      <alignment horizontal="center" vertical="center"/>
    </xf>
    <xf numFmtId="1" fontId="2" fillId="0" borderId="11" xfId="0" applyNumberFormat="1" applyFont="1" applyBorder="1" applyAlignment="1">
      <alignment vertical="center"/>
    </xf>
    <xf numFmtId="0" fontId="3" fillId="0" borderId="0" xfId="1" applyAlignment="1">
      <alignment horizontal="center"/>
    </xf>
    <xf numFmtId="2" fontId="3" fillId="0" borderId="1" xfId="1" applyNumberFormat="1" applyBorder="1"/>
    <xf numFmtId="2" fontId="3" fillId="0" borderId="0" xfId="1" applyNumberFormat="1"/>
    <xf numFmtId="14" fontId="16" fillId="17" borderId="49" xfId="1" applyNumberFormat="1" applyFont="1" applyFill="1" applyBorder="1" applyAlignment="1">
      <alignment horizontal="center" vertical="center"/>
    </xf>
    <xf numFmtId="14" fontId="3" fillId="0" borderId="3" xfId="1" applyNumberFormat="1" applyBorder="1" applyAlignment="1">
      <alignment horizontal="center" vertical="center"/>
    </xf>
    <xf numFmtId="14" fontId="3" fillId="0" borderId="1" xfId="1" applyNumberFormat="1" applyBorder="1" applyAlignment="1">
      <alignment horizontal="center" vertical="center"/>
    </xf>
    <xf numFmtId="14" fontId="3" fillId="0" borderId="0" xfId="1" applyNumberFormat="1" applyAlignment="1">
      <alignment horizontal="center" vertical="center"/>
    </xf>
    <xf numFmtId="14" fontId="3" fillId="0" borderId="0" xfId="1" applyNumberFormat="1" applyAlignment="1">
      <alignment horizontal="center"/>
    </xf>
    <xf numFmtId="2" fontId="16" fillId="17" borderId="49" xfId="1" applyNumberFormat="1" applyFont="1" applyFill="1" applyBorder="1" applyAlignment="1">
      <alignment horizontal="center" vertical="center"/>
    </xf>
    <xf numFmtId="2" fontId="3" fillId="0" borderId="3" xfId="1" applyNumberFormat="1" applyBorder="1" applyAlignment="1">
      <alignment vertical="center"/>
    </xf>
    <xf numFmtId="2" fontId="3" fillId="0" borderId="0" xfId="1" applyNumberFormat="1" applyAlignment="1">
      <alignment vertical="center"/>
    </xf>
    <xf numFmtId="14" fontId="16" fillId="17" borderId="48" xfId="1" applyNumberFormat="1" applyFont="1" applyFill="1" applyBorder="1" applyAlignment="1">
      <alignment horizontal="center" vertical="center"/>
    </xf>
    <xf numFmtId="49" fontId="16" fillId="17" borderId="49" xfId="1" applyNumberFormat="1" applyFont="1" applyFill="1" applyBorder="1" applyAlignment="1">
      <alignment horizontal="center" vertical="center"/>
    </xf>
    <xf numFmtId="49" fontId="16" fillId="17" borderId="50" xfId="1" applyNumberFormat="1" applyFont="1" applyFill="1" applyBorder="1" applyAlignment="1">
      <alignment horizontal="center" vertical="center"/>
    </xf>
    <xf numFmtId="49" fontId="3" fillId="0" borderId="3" xfId="1" applyNumberFormat="1" applyBorder="1" applyAlignment="1">
      <alignment vertical="center"/>
    </xf>
    <xf numFmtId="49" fontId="3" fillId="0" borderId="3" xfId="1" applyNumberFormat="1" applyBorder="1" applyAlignment="1">
      <alignment horizontal="center" vertical="center"/>
    </xf>
    <xf numFmtId="49" fontId="9" fillId="18" borderId="36" xfId="0" applyNumberFormat="1" applyFont="1" applyFill="1" applyBorder="1" applyAlignment="1">
      <alignment horizontal="center" vertical="center" wrapText="1"/>
    </xf>
    <xf numFmtId="49" fontId="3" fillId="0" borderId="1" xfId="1" applyNumberFormat="1" applyBorder="1" applyAlignment="1">
      <alignment vertical="center"/>
    </xf>
    <xf numFmtId="49" fontId="9" fillId="18" borderId="37" xfId="0" applyNumberFormat="1" applyFont="1" applyFill="1" applyBorder="1" applyAlignment="1">
      <alignment horizontal="center" vertical="center" wrapText="1"/>
    </xf>
    <xf numFmtId="49" fontId="3" fillId="0" borderId="0" xfId="1" applyNumberFormat="1" applyAlignment="1">
      <alignment vertical="center"/>
    </xf>
    <xf numFmtId="49" fontId="3" fillId="0" borderId="0" xfId="1" applyNumberFormat="1"/>
    <xf numFmtId="0" fontId="16" fillId="17" borderId="2" xfId="1" applyFont="1" applyFill="1" applyBorder="1" applyAlignment="1">
      <alignment horizontal="center" vertical="center"/>
    </xf>
    <xf numFmtId="2" fontId="16" fillId="17" borderId="3" xfId="1" applyNumberFormat="1" applyFont="1" applyFill="1" applyBorder="1" applyAlignment="1">
      <alignment horizontal="center" vertical="center"/>
    </xf>
    <xf numFmtId="2" fontId="3" fillId="0" borderId="8" xfId="1" applyNumberFormat="1" applyBorder="1"/>
    <xf numFmtId="14" fontId="16" fillId="17" borderId="2" xfId="1" applyNumberFormat="1" applyFont="1" applyFill="1" applyBorder="1" applyAlignment="1">
      <alignment horizontal="center" vertical="center"/>
    </xf>
    <xf numFmtId="14" fontId="3" fillId="0" borderId="5" xfId="1" applyNumberFormat="1" applyBorder="1" applyAlignment="1">
      <alignment horizontal="center" vertical="center"/>
    </xf>
    <xf numFmtId="14" fontId="3" fillId="0" borderId="7" xfId="1" applyNumberFormat="1" applyBorder="1" applyAlignment="1">
      <alignment horizontal="center" vertical="center"/>
    </xf>
    <xf numFmtId="49" fontId="16" fillId="17" borderId="3" xfId="1" applyNumberFormat="1" applyFont="1" applyFill="1" applyBorder="1" applyAlignment="1">
      <alignment horizontal="center" vertical="center"/>
    </xf>
    <xf numFmtId="49" fontId="3" fillId="0" borderId="8" xfId="1" applyNumberFormat="1" applyBorder="1" applyAlignment="1">
      <alignment horizontal="center" vertical="center"/>
    </xf>
    <xf numFmtId="49" fontId="3" fillId="0" borderId="0" xfId="1" applyNumberFormat="1" applyAlignment="1">
      <alignment horizontal="center"/>
    </xf>
    <xf numFmtId="1" fontId="16" fillId="17" borderId="3" xfId="1" applyNumberFormat="1" applyFont="1" applyFill="1" applyBorder="1" applyAlignment="1">
      <alignment horizontal="center" vertical="center"/>
    </xf>
    <xf numFmtId="1" fontId="3" fillId="0" borderId="8" xfId="1" applyNumberFormat="1" applyBorder="1" applyAlignment="1">
      <alignment vertical="center"/>
    </xf>
    <xf numFmtId="1" fontId="3" fillId="0" borderId="0" xfId="1" applyNumberFormat="1" applyAlignment="1">
      <alignment vertical="center"/>
    </xf>
    <xf numFmtId="1" fontId="3" fillId="0" borderId="0" xfId="1" applyNumberFormat="1"/>
    <xf numFmtId="49" fontId="16" fillId="17" borderId="4" xfId="1" applyNumberFormat="1" applyFont="1" applyFill="1" applyBorder="1" applyAlignment="1">
      <alignment horizontal="center" vertical="center"/>
    </xf>
    <xf numFmtId="49" fontId="3" fillId="0" borderId="6" xfId="1" applyNumberFormat="1" applyBorder="1" applyAlignment="1">
      <alignment vertical="center"/>
    </xf>
    <xf numFmtId="49" fontId="3" fillId="0" borderId="9" xfId="1" applyNumberFormat="1" applyBorder="1" applyAlignment="1">
      <alignment vertical="center"/>
    </xf>
    <xf numFmtId="2" fontId="3" fillId="0" borderId="8" xfId="1" applyNumberFormat="1" applyFill="1" applyBorder="1"/>
    <xf numFmtId="14" fontId="3" fillId="0" borderId="5" xfId="1" applyNumberFormat="1" applyBorder="1" applyAlignment="1">
      <alignment horizontal="center"/>
    </xf>
    <xf numFmtId="14" fontId="3" fillId="0" borderId="7" xfId="1" applyNumberFormat="1" applyBorder="1" applyAlignment="1">
      <alignment horizontal="center"/>
    </xf>
    <xf numFmtId="14" fontId="3" fillId="0" borderId="7" xfId="1" applyNumberFormat="1" applyFill="1" applyBorder="1" applyAlignment="1">
      <alignment horizontal="center"/>
    </xf>
    <xf numFmtId="49" fontId="3" fillId="0" borderId="1" xfId="1" applyNumberFormat="1" applyBorder="1" applyAlignment="1">
      <alignment horizontal="center"/>
    </xf>
    <xf numFmtId="49" fontId="3" fillId="0" borderId="8" xfId="1" applyNumberFormat="1" applyBorder="1" applyAlignment="1">
      <alignment horizontal="center"/>
    </xf>
    <xf numFmtId="49" fontId="3" fillId="0" borderId="6" xfId="1" applyNumberFormat="1" applyBorder="1"/>
    <xf numFmtId="49" fontId="3" fillId="0" borderId="9" xfId="1" applyNumberFormat="1" applyBorder="1"/>
    <xf numFmtId="49" fontId="1" fillId="0" borderId="8" xfId="1" applyNumberFormat="1" applyFont="1" applyFill="1" applyBorder="1" applyAlignment="1">
      <alignment horizontal="center"/>
    </xf>
    <xf numFmtId="49" fontId="1" fillId="0" borderId="9" xfId="1" applyNumberFormat="1" applyFont="1" applyFill="1" applyBorder="1"/>
    <xf numFmtId="49" fontId="1" fillId="0" borderId="6" xfId="1" applyNumberFormat="1" applyFont="1" applyBorder="1"/>
    <xf numFmtId="49" fontId="20" fillId="20" borderId="22" xfId="2" applyNumberFormat="1" applyFont="1" applyFill="1" applyBorder="1" applyAlignment="1">
      <alignment horizontal="center" vertical="center" wrapText="1"/>
    </xf>
    <xf numFmtId="49" fontId="13" fillId="6" borderId="21" xfId="2" applyNumberFormat="1" applyFont="1" applyFill="1" applyBorder="1" applyAlignment="1">
      <alignment horizontal="right" vertical="center"/>
    </xf>
    <xf numFmtId="1" fontId="19" fillId="20" borderId="46" xfId="2" applyNumberFormat="1" applyFont="1" applyFill="1" applyBorder="1" applyAlignment="1">
      <alignment horizontal="center" vertical="center"/>
    </xf>
    <xf numFmtId="49" fontId="23" fillId="21" borderId="22" xfId="2" applyNumberFormat="1" applyFont="1" applyFill="1" applyBorder="1" applyAlignment="1">
      <alignment horizontal="center" vertical="center" wrapText="1"/>
    </xf>
    <xf numFmtId="49" fontId="23" fillId="6" borderId="22" xfId="2" applyNumberFormat="1" applyFont="1" applyFill="1" applyBorder="1" applyAlignment="1">
      <alignment horizontal="center" vertical="center" wrapText="1"/>
    </xf>
    <xf numFmtId="49" fontId="13" fillId="12" borderId="25" xfId="2" applyNumberFormat="1" applyFont="1" applyFill="1" applyBorder="1" applyAlignment="1">
      <alignment vertical="center"/>
    </xf>
    <xf numFmtId="49" fontId="19" fillId="20" borderId="21" xfId="2" applyNumberFormat="1" applyFont="1" applyFill="1" applyBorder="1" applyAlignment="1">
      <alignment horizontal="right" vertical="center"/>
    </xf>
    <xf numFmtId="0" fontId="12" fillId="0" borderId="0" xfId="2" applyBorder="1" applyAlignment="1">
      <alignment vertical="center"/>
    </xf>
    <xf numFmtId="0" fontId="13" fillId="0" borderId="0" xfId="2" applyFont="1" applyFill="1" applyAlignment="1">
      <alignment horizontal="center" vertical="center"/>
    </xf>
    <xf numFmtId="3" fontId="13" fillId="0" borderId="0" xfId="2" applyNumberFormat="1" applyFont="1" applyFill="1" applyAlignment="1">
      <alignment horizontal="center" vertical="center"/>
    </xf>
    <xf numFmtId="2" fontId="12" fillId="20" borderId="1" xfId="2" applyNumberFormat="1" applyFill="1" applyBorder="1" applyAlignment="1">
      <alignment horizontal="center" vertical="center"/>
    </xf>
    <xf numFmtId="1" fontId="13" fillId="21" borderId="1" xfId="2" applyNumberFormat="1" applyFont="1" applyFill="1" applyBorder="1" applyAlignment="1">
      <alignment horizontal="right" vertical="center"/>
    </xf>
    <xf numFmtId="1" fontId="13" fillId="6" borderId="1" xfId="2" applyNumberFormat="1" applyFont="1" applyFill="1" applyBorder="1" applyAlignment="1">
      <alignment horizontal="right" vertical="center"/>
    </xf>
    <xf numFmtId="1" fontId="13" fillId="12" borderId="24" xfId="2" applyNumberFormat="1" applyFont="1" applyFill="1" applyBorder="1" applyAlignment="1">
      <alignment horizontal="right" vertical="center"/>
    </xf>
    <xf numFmtId="1" fontId="22" fillId="12" borderId="24" xfId="3" applyNumberFormat="1" applyFont="1" applyFill="1" applyBorder="1" applyAlignment="1">
      <alignment horizontal="right" vertical="center" wrapText="1"/>
    </xf>
    <xf numFmtId="0" fontId="13" fillId="5" borderId="3" xfId="2" applyFont="1" applyFill="1" applyBorder="1" applyAlignment="1">
      <alignment horizontal="center" vertical="center"/>
    </xf>
    <xf numFmtId="0" fontId="13" fillId="5" borderId="3" xfId="2" applyFont="1" applyFill="1" applyBorder="1" applyAlignment="1">
      <alignment horizontal="center" vertical="center" wrapText="1"/>
    </xf>
    <xf numFmtId="49" fontId="15" fillId="5" borderId="1" xfId="2" applyNumberFormat="1" applyFont="1" applyFill="1" applyBorder="1" applyAlignment="1">
      <alignment horizontal="center" vertical="center"/>
    </xf>
    <xf numFmtId="1" fontId="15" fillId="5" borderId="1" xfId="2" applyNumberFormat="1" applyFont="1" applyFill="1" applyBorder="1" applyAlignment="1">
      <alignment horizontal="center" vertical="center"/>
    </xf>
    <xf numFmtId="49" fontId="12" fillId="5" borderId="1" xfId="2" applyNumberFormat="1" applyFill="1" applyBorder="1" applyAlignment="1">
      <alignment horizontal="center" vertical="center"/>
    </xf>
    <xf numFmtId="3" fontId="12" fillId="5" borderId="1" xfId="2" applyNumberFormat="1" applyFill="1" applyBorder="1" applyAlignment="1">
      <alignment horizontal="center" vertical="center"/>
    </xf>
    <xf numFmtId="49" fontId="12" fillId="5" borderId="24" xfId="2" applyNumberFormat="1" applyFill="1" applyBorder="1" applyAlignment="1">
      <alignment horizontal="center" vertical="center"/>
    </xf>
    <xf numFmtId="3" fontId="12" fillId="5" borderId="24" xfId="2" applyNumberFormat="1" applyFill="1" applyBorder="1" applyAlignment="1">
      <alignment horizontal="center" vertical="center"/>
    </xf>
    <xf numFmtId="49" fontId="13" fillId="5" borderId="23" xfId="2" applyNumberFormat="1" applyFont="1" applyFill="1" applyBorder="1" applyAlignment="1">
      <alignment horizontal="right" vertical="center"/>
    </xf>
    <xf numFmtId="1" fontId="13" fillId="5" borderId="24" xfId="2" applyNumberFormat="1" applyFont="1" applyFill="1" applyBorder="1" applyAlignment="1">
      <alignment horizontal="right" vertical="center"/>
    </xf>
    <xf numFmtId="49" fontId="23" fillId="5" borderId="25" xfId="2" applyNumberFormat="1" applyFont="1" applyFill="1" applyBorder="1" applyAlignment="1">
      <alignment horizontal="center" vertical="center" wrapText="1"/>
    </xf>
    <xf numFmtId="49" fontId="13" fillId="6" borderId="45" xfId="2" applyNumberFormat="1" applyFont="1" applyFill="1" applyBorder="1" applyAlignment="1">
      <alignment horizontal="right" vertical="center"/>
    </xf>
    <xf numFmtId="1" fontId="13" fillId="6" borderId="46" xfId="2" applyNumberFormat="1" applyFont="1" applyFill="1" applyBorder="1" applyAlignment="1">
      <alignment horizontal="right" vertical="center"/>
    </xf>
    <xf numFmtId="49" fontId="23" fillId="6" borderId="47" xfId="2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4" fontId="0" fillId="20" borderId="0" xfId="0" applyNumberForma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top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6" fillId="3" borderId="1" xfId="1" applyFont="1" applyFill="1" applyBorder="1" applyAlignment="1">
      <alignment horizontal="center" vertical="center"/>
    </xf>
    <xf numFmtId="0" fontId="7" fillId="0" borderId="1" xfId="1" applyFont="1" applyBorder="1"/>
    <xf numFmtId="0" fontId="10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0" fontId="10" fillId="0" borderId="15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1" fillId="0" borderId="14" xfId="1" applyFont="1" applyBorder="1" applyAlignment="1">
      <alignment horizontal="center" vertical="center"/>
    </xf>
    <xf numFmtId="0" fontId="11" fillId="0" borderId="15" xfId="1" applyFont="1" applyBorder="1" applyAlignment="1">
      <alignment horizontal="center" vertical="center"/>
    </xf>
    <xf numFmtId="0" fontId="12" fillId="0" borderId="28" xfId="2" applyBorder="1" applyAlignment="1">
      <alignment horizontal="center"/>
    </xf>
    <xf numFmtId="0" fontId="12" fillId="0" borderId="0" xfId="2" applyAlignment="1">
      <alignment horizontal="center"/>
    </xf>
    <xf numFmtId="0" fontId="12" fillId="12" borderId="13" xfId="2" applyFill="1" applyBorder="1" applyAlignment="1">
      <alignment horizontal="center" vertical="center"/>
    </xf>
    <xf numFmtId="0" fontId="12" fillId="12" borderId="14" xfId="2" applyFill="1" applyBorder="1" applyAlignment="1">
      <alignment horizontal="center" vertical="center"/>
    </xf>
    <xf numFmtId="0" fontId="12" fillId="12" borderId="15" xfId="2" applyFill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5" xfId="2" applyFont="1" applyBorder="1" applyAlignment="1">
      <alignment horizontal="center" vertical="center"/>
    </xf>
    <xf numFmtId="2" fontId="13" fillId="13" borderId="28" xfId="2" applyNumberFormat="1" applyFont="1" applyFill="1" applyBorder="1" applyAlignment="1">
      <alignment horizontal="center" vertical="center"/>
    </xf>
    <xf numFmtId="2" fontId="13" fillId="13" borderId="0" xfId="2" applyNumberFormat="1" applyFont="1" applyFill="1" applyAlignment="1">
      <alignment horizontal="center" vertical="center"/>
    </xf>
    <xf numFmtId="2" fontId="12" fillId="0" borderId="28" xfId="2" applyNumberFormat="1" applyBorder="1" applyAlignment="1">
      <alignment horizontal="left" vertical="center" wrapText="1"/>
    </xf>
    <xf numFmtId="2" fontId="12" fillId="0" borderId="0" xfId="2" applyNumberFormat="1" applyAlignment="1">
      <alignment horizontal="left" vertical="center" wrapText="1"/>
    </xf>
    <xf numFmtId="2" fontId="12" fillId="0" borderId="28" xfId="2" applyNumberFormat="1" applyBorder="1" applyAlignment="1">
      <alignment horizontal="center" vertical="center" wrapText="1"/>
    </xf>
    <xf numFmtId="2" fontId="12" fillId="0" borderId="0" xfId="2" applyNumberFormat="1" applyAlignment="1">
      <alignment horizontal="center" vertical="center" wrapText="1"/>
    </xf>
    <xf numFmtId="2" fontId="13" fillId="16" borderId="0" xfId="2" applyNumberFormat="1" applyFont="1" applyFill="1" applyAlignment="1">
      <alignment horizontal="left" vertical="center"/>
    </xf>
    <xf numFmtId="2" fontId="13" fillId="13" borderId="0" xfId="2" applyNumberFormat="1" applyFont="1" applyFill="1" applyAlignment="1">
      <alignment horizontal="left" vertical="center" wrapText="1"/>
    </xf>
    <xf numFmtId="0" fontId="12" fillId="15" borderId="0" xfId="2" applyFill="1" applyAlignment="1">
      <alignment horizontal="left" vertical="center"/>
    </xf>
    <xf numFmtId="0" fontId="12" fillId="19" borderId="38" xfId="2" applyFill="1" applyBorder="1" applyAlignment="1">
      <alignment horizontal="left" vertical="center" wrapText="1"/>
    </xf>
    <xf numFmtId="0" fontId="12" fillId="19" borderId="27" xfId="2" applyFill="1" applyBorder="1" applyAlignment="1">
      <alignment horizontal="left" vertical="center" wrapText="1"/>
    </xf>
    <xf numFmtId="0" fontId="12" fillId="19" borderId="39" xfId="2" applyFill="1" applyBorder="1" applyAlignment="1">
      <alignment horizontal="left" vertical="center" wrapText="1"/>
    </xf>
    <xf numFmtId="0" fontId="12" fillId="19" borderId="28" xfId="2" applyFill="1" applyBorder="1" applyAlignment="1">
      <alignment horizontal="left" vertical="center" wrapText="1"/>
    </xf>
    <xf numFmtId="0" fontId="12" fillId="19" borderId="0" xfId="2" applyFill="1" applyAlignment="1">
      <alignment horizontal="left" vertical="center" wrapText="1"/>
    </xf>
    <xf numFmtId="0" fontId="12" fillId="19" borderId="40" xfId="2" applyFill="1" applyBorder="1" applyAlignment="1">
      <alignment horizontal="left" vertical="center" wrapText="1"/>
    </xf>
    <xf numFmtId="0" fontId="12" fillId="19" borderId="41" xfId="2" applyFill="1" applyBorder="1" applyAlignment="1">
      <alignment horizontal="left" vertical="center" wrapText="1"/>
    </xf>
    <xf numFmtId="0" fontId="12" fillId="19" borderId="10" xfId="2" applyFill="1" applyBorder="1" applyAlignment="1">
      <alignment horizontal="left" vertical="center" wrapText="1"/>
    </xf>
    <xf numFmtId="0" fontId="12" fillId="19" borderId="42" xfId="2" applyFill="1" applyBorder="1" applyAlignment="1">
      <alignment horizontal="left" vertical="center" wrapText="1"/>
    </xf>
    <xf numFmtId="0" fontId="17" fillId="0" borderId="38" xfId="2" applyFont="1" applyBorder="1" applyAlignment="1">
      <alignment horizontal="center" vertical="center"/>
    </xf>
    <xf numFmtId="0" fontId="17" fillId="0" borderId="39" xfId="2" applyFont="1" applyBorder="1" applyAlignment="1">
      <alignment horizontal="center" vertical="center"/>
    </xf>
    <xf numFmtId="0" fontId="17" fillId="0" borderId="28" xfId="2" applyFont="1" applyBorder="1" applyAlignment="1">
      <alignment horizontal="center" vertical="center"/>
    </xf>
    <xf numFmtId="0" fontId="17" fillId="0" borderId="40" xfId="2" applyFont="1" applyBorder="1" applyAlignment="1">
      <alignment horizontal="center" vertical="center"/>
    </xf>
    <xf numFmtId="0" fontId="17" fillId="0" borderId="41" xfId="2" applyFont="1" applyBorder="1" applyAlignment="1">
      <alignment horizontal="center" vertical="center"/>
    </xf>
    <xf numFmtId="0" fontId="17" fillId="0" borderId="42" xfId="2" applyFont="1" applyBorder="1" applyAlignment="1">
      <alignment horizontal="center" vertical="center"/>
    </xf>
    <xf numFmtId="0" fontId="18" fillId="12" borderId="6" xfId="2" applyFont="1" applyFill="1" applyBorder="1" applyAlignment="1">
      <alignment horizontal="center" vertical="center" wrapText="1"/>
    </xf>
    <xf numFmtId="0" fontId="18" fillId="12" borderId="43" xfId="2" applyFont="1" applyFill="1" applyBorder="1" applyAlignment="1">
      <alignment horizontal="center" vertical="center" wrapText="1"/>
    </xf>
    <xf numFmtId="0" fontId="18" fillId="12" borderId="5" xfId="2" applyFont="1" applyFill="1" applyBorder="1" applyAlignment="1">
      <alignment horizontal="center" vertical="center" wrapText="1"/>
    </xf>
    <xf numFmtId="0" fontId="13" fillId="6" borderId="45" xfId="2" applyFont="1" applyFill="1" applyBorder="1" applyAlignment="1">
      <alignment horizontal="center" vertical="center"/>
    </xf>
    <xf numFmtId="0" fontId="13" fillId="6" borderId="46" xfId="2" applyFont="1" applyFill="1" applyBorder="1" applyAlignment="1">
      <alignment horizontal="center" vertical="center"/>
    </xf>
    <xf numFmtId="3" fontId="13" fillId="6" borderId="46" xfId="2" applyNumberFormat="1" applyFont="1" applyFill="1" applyBorder="1" applyAlignment="1">
      <alignment horizontal="center" vertical="center"/>
    </xf>
    <xf numFmtId="0" fontId="13" fillId="6" borderId="38" xfId="2" applyFont="1" applyFill="1" applyBorder="1" applyAlignment="1">
      <alignment horizontal="center" vertical="center"/>
    </xf>
    <xf numFmtId="0" fontId="13" fillId="6" borderId="27" xfId="2" applyFont="1" applyFill="1" applyBorder="1" applyAlignment="1">
      <alignment horizontal="center" vertical="center"/>
    </xf>
    <xf numFmtId="0" fontId="13" fillId="6" borderId="39" xfId="2" applyFont="1" applyFill="1" applyBorder="1" applyAlignment="1">
      <alignment horizontal="center" vertical="center"/>
    </xf>
    <xf numFmtId="0" fontId="12" fillId="6" borderId="46" xfId="2" applyFill="1" applyBorder="1" applyAlignment="1">
      <alignment horizontal="left" vertical="center"/>
    </xf>
    <xf numFmtId="0" fontId="12" fillId="6" borderId="47" xfId="2" applyFill="1" applyBorder="1" applyAlignment="1">
      <alignment horizontal="left" vertical="center"/>
    </xf>
    <xf numFmtId="2" fontId="21" fillId="22" borderId="0" xfId="2" applyNumberFormat="1" applyFont="1" applyFill="1" applyAlignment="1">
      <alignment horizontal="left" vertical="center" wrapText="1"/>
    </xf>
    <xf numFmtId="0" fontId="13" fillId="5" borderId="19" xfId="2" applyFont="1" applyFill="1" applyBorder="1" applyAlignment="1">
      <alignment horizontal="center" vertical="center"/>
    </xf>
    <xf numFmtId="0" fontId="13" fillId="5" borderId="3" xfId="2" applyFont="1" applyFill="1" applyBorder="1" applyAlignment="1">
      <alignment horizontal="center" vertical="center"/>
    </xf>
    <xf numFmtId="0" fontId="15" fillId="5" borderId="21" xfId="2" applyFont="1" applyFill="1" applyBorder="1" applyAlignment="1">
      <alignment horizontal="left" vertical="center"/>
    </xf>
    <xf numFmtId="0" fontId="15" fillId="5" borderId="1" xfId="2" applyFont="1" applyFill="1" applyBorder="1" applyAlignment="1">
      <alignment horizontal="left" vertical="center"/>
    </xf>
    <xf numFmtId="0" fontId="12" fillId="5" borderId="21" xfId="2" applyFill="1" applyBorder="1" applyAlignment="1">
      <alignment horizontal="left" vertical="center"/>
    </xf>
    <xf numFmtId="0" fontId="12" fillId="5" borderId="1" xfId="2" applyFill="1" applyBorder="1" applyAlignment="1">
      <alignment horizontal="left" vertical="center"/>
    </xf>
    <xf numFmtId="0" fontId="13" fillId="6" borderId="21" xfId="2" applyFont="1" applyFill="1" applyBorder="1" applyAlignment="1">
      <alignment horizontal="center" vertical="center"/>
    </xf>
    <xf numFmtId="0" fontId="13" fillId="6" borderId="1" xfId="2" applyFont="1" applyFill="1" applyBorder="1" applyAlignment="1">
      <alignment horizontal="center" vertical="center"/>
    </xf>
    <xf numFmtId="0" fontId="13" fillId="5" borderId="13" xfId="2" applyFont="1" applyFill="1" applyBorder="1" applyAlignment="1">
      <alignment horizontal="center" vertical="center"/>
    </xf>
    <xf numFmtId="0" fontId="13" fillId="5" borderId="14" xfId="2" applyFont="1" applyFill="1" applyBorder="1" applyAlignment="1">
      <alignment horizontal="center" vertical="center"/>
    </xf>
    <xf numFmtId="0" fontId="13" fillId="5" borderId="15" xfId="2" applyFont="1" applyFill="1" applyBorder="1" applyAlignment="1">
      <alignment horizontal="center" vertical="center"/>
    </xf>
    <xf numFmtId="0" fontId="13" fillId="5" borderId="20" xfId="2" applyFont="1" applyFill="1" applyBorder="1" applyAlignment="1">
      <alignment horizontal="center" vertical="center"/>
    </xf>
    <xf numFmtId="0" fontId="12" fillId="5" borderId="22" xfId="2" applyFill="1" applyBorder="1" applyAlignment="1">
      <alignment horizontal="left" vertical="center"/>
    </xf>
    <xf numFmtId="0" fontId="12" fillId="5" borderId="24" xfId="2" applyFill="1" applyBorder="1" applyAlignment="1">
      <alignment horizontal="left" vertical="center" wrapText="1"/>
    </xf>
    <xf numFmtId="0" fontId="12" fillId="5" borderId="25" xfId="2" applyFill="1" applyBorder="1" applyAlignment="1">
      <alignment horizontal="left" vertical="center" wrapText="1"/>
    </xf>
    <xf numFmtId="0" fontId="12" fillId="5" borderId="23" xfId="2" applyFill="1" applyBorder="1" applyAlignment="1">
      <alignment horizontal="left" vertical="center"/>
    </xf>
    <xf numFmtId="0" fontId="12" fillId="5" borderId="24" xfId="2" applyFill="1" applyBorder="1" applyAlignment="1">
      <alignment horizontal="left" vertical="center"/>
    </xf>
    <xf numFmtId="3" fontId="13" fillId="6" borderId="1" xfId="2" applyNumberFormat="1" applyFont="1" applyFill="1" applyBorder="1" applyAlignment="1">
      <alignment horizontal="center" vertical="center"/>
    </xf>
    <xf numFmtId="0" fontId="13" fillId="6" borderId="23" xfId="2" applyFont="1" applyFill="1" applyBorder="1" applyAlignment="1">
      <alignment horizontal="center" vertical="center"/>
    </xf>
    <xf numFmtId="0" fontId="13" fillId="6" borderId="24" xfId="2" applyFont="1" applyFill="1" applyBorder="1" applyAlignment="1">
      <alignment horizontal="center" vertical="center"/>
    </xf>
    <xf numFmtId="3" fontId="13" fillId="6" borderId="24" xfId="2" applyNumberFormat="1" applyFont="1" applyFill="1" applyBorder="1" applyAlignment="1">
      <alignment horizontal="center" vertical="center"/>
    </xf>
    <xf numFmtId="0" fontId="12" fillId="6" borderId="1" xfId="2" applyFill="1" applyBorder="1" applyAlignment="1">
      <alignment horizontal="left" vertical="center"/>
    </xf>
    <xf numFmtId="0" fontId="12" fillId="6" borderId="22" xfId="2" applyFill="1" applyBorder="1" applyAlignment="1">
      <alignment horizontal="left" vertical="center"/>
    </xf>
    <xf numFmtId="0" fontId="12" fillId="6" borderId="24" xfId="2" applyFill="1" applyBorder="1" applyAlignment="1">
      <alignment horizontal="left" vertical="center" wrapText="1"/>
    </xf>
    <xf numFmtId="0" fontId="12" fillId="6" borderId="25" xfId="2" applyFill="1" applyBorder="1" applyAlignment="1">
      <alignment horizontal="left" vertical="center" wrapText="1"/>
    </xf>
  </cellXfs>
  <cellStyles count="4">
    <cellStyle name="Normal" xfId="0" builtinId="0"/>
    <cellStyle name="Normal 2 2" xfId="2" xr:uid="{7EE4B140-48CA-4B84-9D59-97987218BC0D}"/>
    <cellStyle name="Normal 5" xfId="1" xr:uid="{360FC210-86FC-4258-854C-F12DD7778798}"/>
    <cellStyle name="Normal 5 2" xfId="3" xr:uid="{C4F85CB4-FD35-4C08-8AB5-39F2F0D2DE11}"/>
  </cellStyles>
  <dxfs count="180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border diagonalUp="0" diagonalDown="0" outline="0">
        <left style="thin">
          <color auto="1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hell Dlg 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medium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medium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numFmt numFmtId="2" formatCode="0.00"/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  <alignment horizontal="center" vertical="center" textRotation="0" wrapText="0" indent="0" justifyLastLine="0" shrinkToFit="0" readingOrder="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0</xdr:rowOff>
        </xdr:from>
        <xdr:to>
          <xdr:col>4</xdr:col>
          <xdr:colOff>0</xdr:colOff>
          <xdr:row>2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19050</xdr:rowOff>
        </xdr:from>
        <xdr:to>
          <xdr:col>4</xdr:col>
          <xdr:colOff>9525</xdr:colOff>
          <xdr:row>4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180975</xdr:rowOff>
        </xdr:from>
        <xdr:to>
          <xdr:col>4</xdr:col>
          <xdr:colOff>0</xdr:colOff>
          <xdr:row>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4</xdr:row>
          <xdr:rowOff>161925</xdr:rowOff>
        </xdr:from>
        <xdr:to>
          <xdr:col>4</xdr:col>
          <xdr:colOff>161925</xdr:colOff>
          <xdr:row>6</xdr:row>
          <xdr:rowOff>152400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34B265-7721-4BB8-BB64-3CDAA9E6FC86}" name="Ene" displayName="Ene" ref="A1:F78">
  <autoFilter ref="A1:F78" xr:uid="{DD34B265-7721-4BB8-BB64-3CDAA9E6FC86}"/>
  <tableColumns count="6">
    <tableColumn id="1" xr3:uid="{BC29EDD9-0726-44D6-BD18-6D3A73D6FE5F}" name="Columna1" totalsRowLabel="Total"/>
    <tableColumn id="2" xr3:uid="{F490D676-676F-4FA1-AD95-43C36540B8D4}" name="Fecha" dataDxfId="179"/>
    <tableColumn id="3" xr3:uid="{88CB018F-324D-4273-9094-1099F6282A07}" name="Concepto"/>
    <tableColumn id="4" xr3:uid="{9CF56D19-CCED-4958-BB70-424FB5F6C43B}" name="Descripcion"/>
    <tableColumn id="5" xr3:uid="{3F265765-A364-40FF-8D2F-CA8D5907290E}" name="Monto" totalsRowFunction="sum" dataDxfId="178" totalsRowDxfId="177"/>
    <tableColumn id="6" xr3:uid="{5EB8A464-3504-4FC9-980F-78EE4AE5F5FA}" name="NroComproban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AE9417-0F2D-45BF-AB39-6756B3E1AB90}" name="Ene_Debitos" displayName="Ene_Debitos" ref="A1:J74" totalsRowCount="1">
  <autoFilter ref="A1:J73" xr:uid="{EAAE9417-0F2D-45BF-AB39-6756B3E1AB90}"/>
  <tableColumns count="10">
    <tableColumn id="1" xr3:uid="{AF2D2839-8F68-416C-98F4-661AC97F63E1}" name="Columna1"/>
    <tableColumn id="2" xr3:uid="{5AB9BE30-D213-442D-8FAC-49177DE2A99A}" name="Fecha" dataDxfId="176"/>
    <tableColumn id="3" xr3:uid="{0D67351B-CBAD-4905-84FB-9CAC3375E2AD}" name="Concepto"/>
    <tableColumn id="4" xr3:uid="{AF8CC060-66BB-400A-B8D2-23CBDF29DBD4}" name="Descripcion"/>
    <tableColumn id="5" xr3:uid="{84F915D4-E05A-425F-833C-DDBE3191EB0A}" name="Gastos" totalsRowFunction="sum" dataDxfId="175" totalsRowDxfId="174"/>
    <tableColumn id="6" xr3:uid="{584913B0-879E-48D9-A005-847E9681E4BE}" name="Tarjetas" totalsRowFunction="sum" dataDxfId="173" totalsRowDxfId="172"/>
    <tableColumn id="7" xr3:uid="{0DA4EE09-0D4B-4BC0-B67F-D80A7208C27E}" name="Impuestos" totalsRowFunction="sum" dataDxfId="171" totalsRowDxfId="170"/>
    <tableColumn id="8" xr3:uid="{C8976EDD-6CEA-4EF1-9268-CEB7DA08ECB3}" name="Inversiones" totalsRowFunction="sum" dataDxfId="169" totalsRowDxfId="168"/>
    <tableColumn id="9" xr3:uid="{7BE20BF8-092D-40D2-8C4F-80B54E19DF10}" name="Extracciones" totalsRowFunction="sum" dataDxfId="167" totalsRowDxfId="166"/>
    <tableColumn id="10" xr3:uid="{C387318A-C096-44F1-8A43-AFBB72635A6B}" name="Comentarios" totalsRowFunction="c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1CFF363-B5CD-4A13-8DA5-76136F109534}" name="Ene_Creditos" displayName="Ene_Creditos" ref="A1:F7" totalsRowCount="1">
  <autoFilter ref="A1:F6" xr:uid="{C1CFF363-B5CD-4A13-8DA5-76136F109534}"/>
  <tableColumns count="6">
    <tableColumn id="1" xr3:uid="{929408F1-8DA3-40C7-B52B-AD42DA63A8EC}" name="Columna1"/>
    <tableColumn id="2" xr3:uid="{D4E1BE3A-228C-4452-92D3-245B939DE238}" name="Fecha" dataDxfId="165"/>
    <tableColumn id="3" xr3:uid="{1D91FD60-6A64-49C8-83CA-FF8D96E826D9}" name="Concepto"/>
    <tableColumn id="4" xr3:uid="{A97A28E9-57DA-4BA7-9E1C-D49CA3412A1B}" name="Descripcion"/>
    <tableColumn id="5" xr3:uid="{4446A65A-CD93-4502-AF1F-9501B53D5657}" name="Haberes" totalsRowFunction="sum" dataDxfId="164"/>
    <tableColumn id="6" xr3:uid="{31675E02-9E0C-422B-A29A-20119F4152F7}" name="Extras" totalsRowFunction="sum" dataDxfId="16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66BAD2-6796-4279-B5EF-BE22FA3AC757}" name="Ene_Efectivo" displayName="Ene_Efectivo" ref="A1:I6" totalsRowCount="1">
  <autoFilter ref="A1:I5" xr:uid="{5266BAD2-6796-4279-B5EF-BE22FA3AC757}"/>
  <tableColumns count="9">
    <tableColumn id="1" xr3:uid="{43946A68-9FD8-4E0E-9B02-2E8585FA1FBA}" name="Fecha" dataDxfId="162"/>
    <tableColumn id="2" xr3:uid="{055DE1DA-924E-44F5-9252-A8D2CE892765}" name="Concepto"/>
    <tableColumn id="3" xr3:uid="{FA1CACB7-0EE7-4220-9E56-A6694A016101}" name="Descripcion"/>
    <tableColumn id="4" xr3:uid="{2F116C31-3690-4D9E-B971-34A37C924BF6}" name="Gastos" totalsRowFunction="sum" dataDxfId="161" totalsRowDxfId="160"/>
    <tableColumn id="5" xr3:uid="{F2C7E56F-0606-46A2-AEBC-3D629ACA0EFF}" name="Tarjetas" dataDxfId="159"/>
    <tableColumn id="6" xr3:uid="{CF10C78B-9C91-4BF7-8159-17DFA376E824}" name="Impuestos" dataDxfId="158"/>
    <tableColumn id="7" xr3:uid="{EC2F92D9-92F8-466C-BDCC-81E55861C51B}" name="Inversiones" dataDxfId="157"/>
    <tableColumn id="8" xr3:uid="{4034583A-8D8E-4DB2-A010-5A47EE310B0F}" name="Extras" totalsRowFunction="sum" dataDxfId="156"/>
    <tableColumn id="9" xr3:uid="{FF1F5690-C25D-4741-A230-C4FE914B4A34}" name="Comentarios" totalsRowFunction="cou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543C170-B8E6-4774-BCB7-08B90620AEA9}" name="Feb" displayName="Feb" ref="A1:F53" totalsRowShown="0">
  <autoFilter ref="A1:F53" xr:uid="{7543C170-B8E6-4774-BCB7-08B90620AEA9}"/>
  <tableColumns count="6">
    <tableColumn id="1" xr3:uid="{599FB599-4857-48D5-8DFA-DA0B4E08BC33}" name="Columna1"/>
    <tableColumn id="2" xr3:uid="{E89FFCC3-E9BC-453D-BB2C-01743F77D3A0}" name="Fecha" dataDxfId="39"/>
    <tableColumn id="3" xr3:uid="{F8CC4AFA-F8BB-4C9B-9264-B857ABB44066}" name="Concepto"/>
    <tableColumn id="4" xr3:uid="{6C3F8A68-54BC-43AE-8643-9D546C6D1C9B}" name="Descripcion"/>
    <tableColumn id="5" xr3:uid="{9277DEB1-FD3A-4EE6-9449-A750F8CAC86D}" name="Monto" dataDxfId="38"/>
    <tableColumn id="6" xr3:uid="{8C481815-4226-4055-9F7E-A8E316EA905D}" name="NroComprobant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E4D13A7-E4B4-4EA0-B155-C3F70CF07374}" name="Feb_Debitos" displayName="Feb_Debitos" ref="A1:J49" totalsRowCount="1">
  <autoFilter ref="A1:J48" xr:uid="{FE4D13A7-E4B4-4EA0-B155-C3F70CF07374}"/>
  <tableColumns count="10">
    <tableColumn id="1" xr3:uid="{947D88EC-14AC-446B-B28E-516F71232F7D}" name="Columna1"/>
    <tableColumn id="2" xr3:uid="{E493C95D-1B9E-4833-92EE-8732A5A92631}" name="Fecha" dataDxfId="37"/>
    <tableColumn id="3" xr3:uid="{6B13B326-9156-431F-8ACB-B04791E57E50}" name="Concepto"/>
    <tableColumn id="4" xr3:uid="{85661901-5483-45BA-85DC-A0C1C1E7696D}" name="Descripcion"/>
    <tableColumn id="5" xr3:uid="{BBDFC300-0BF1-4AE9-A8E3-C2739D6ABE60}" name="Gastos" totalsRowFunction="sum" dataDxfId="36" totalsRowDxfId="7"/>
    <tableColumn id="6" xr3:uid="{CFB90889-5918-46C4-A4E8-E26C4F931108}" name="Tarjetas" totalsRowFunction="sum" dataDxfId="35" totalsRowDxfId="6"/>
    <tableColumn id="7" xr3:uid="{18626619-49E8-42E8-8A0B-2E237851532E}" name="Impuestos" totalsRowFunction="sum" dataDxfId="34" totalsRowDxfId="5"/>
    <tableColumn id="8" xr3:uid="{D636FCC8-2FA7-473D-921F-CBA2837FBF81}" name="Inversiones" totalsRowFunction="sum" dataDxfId="33" totalsRowDxfId="4"/>
    <tableColumn id="9" xr3:uid="{0FAD25B5-8DB4-4A17-AAFC-D8AE6126A613}" name="Extracciones" totalsRowFunction="sum" dataDxfId="32" totalsRowDxfId="3"/>
    <tableColumn id="10" xr3:uid="{CC99D39E-B073-467C-8643-6A73271441D3}" name="Comentarios" totalsRowFunction="coun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1B3566E-AFF7-413C-BD40-28AB671D1C52}" name="Feb_Creditos" displayName="Feb_Creditos" ref="A1:G10" totalsRowCount="1">
  <autoFilter ref="A1:G9" xr:uid="{31B3566E-AFF7-413C-BD40-28AB671D1C52}"/>
  <tableColumns count="7">
    <tableColumn id="1" xr3:uid="{F0763F05-6B4D-4693-A676-CE68778B4F7F}" name="Columna1"/>
    <tableColumn id="2" xr3:uid="{AD837CE0-40A8-486E-8D4F-B16F8B0660C8}" name="Fecha" dataDxfId="31"/>
    <tableColumn id="3" xr3:uid="{0C6D8423-F741-4F9E-989D-CD13D23B66BF}" name="Concepto"/>
    <tableColumn id="4" xr3:uid="{4187818E-A03A-4FDD-ADB0-B7F6CC9D81E6}" name="Descripcion"/>
    <tableColumn id="5" xr3:uid="{B3BA603B-EA22-4966-85DA-126804105F81}" name="Haberes" totalsRowFunction="sum" dataDxfId="30" totalsRowDxfId="2"/>
    <tableColumn id="6" xr3:uid="{541EE093-0F27-4708-A273-3A2A3F69E2F2}" name="Extras" totalsRowFunction="sum" dataDxfId="29" totalsRowDxfId="1"/>
    <tableColumn id="7" xr3:uid="{C247C92C-9BDD-4C77-AF89-F0F67B5336CC}" name="Inversiones" totalsRowFunction="sum" dataDxfId="28" totalsRowDxfId="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3EDBC4A-4403-4DF4-92FB-C17309C8DE27}" name="Feb_Efectivo" displayName="Feb_Efectivo" ref="A1:I2" totalsRowShown="0">
  <autoFilter ref="A1:I2" xr:uid="{03EDBC4A-4403-4DF4-92FB-C17309C8DE27}"/>
  <tableColumns count="9">
    <tableColumn id="1" xr3:uid="{15C9293D-ECC6-41EB-B5EA-888E8B2302FE}" name="Fecha" dataDxfId="27"/>
    <tableColumn id="2" xr3:uid="{3C93A0D0-2A37-4524-A16D-1F3A109734D8}" name="Concepto"/>
    <tableColumn id="3" xr3:uid="{9537770B-7BEC-4917-B2B9-43D1E83229C7}" name="Descripcion"/>
    <tableColumn id="4" xr3:uid="{0B5BC020-4B7D-4600-9056-C3F855405070}" name="Gastos" dataDxfId="26"/>
    <tableColumn id="5" xr3:uid="{332849A6-5DE8-446B-AAFA-28C983DD3764}" name="Tarjetas" dataDxfId="25"/>
    <tableColumn id="6" xr3:uid="{9F2B9284-12B9-43EF-80F1-37054734A383}" name="Impuestos" dataDxfId="24"/>
    <tableColumn id="7" xr3:uid="{6993EFE6-8D20-4C7B-98F1-F23F1CC752FC}" name="Inversiones" dataDxfId="23"/>
    <tableColumn id="8" xr3:uid="{50CB7D36-1DA2-4970-A318-F8C15DF39E3D}" name="Extras" dataDxfId="22"/>
    <tableColumn id="9" xr3:uid="{360C942F-CCE7-48A5-8BA4-3552677F6F01}" name="Comentario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DFB0154-F65F-41F6-9953-4319FA4C6379}" name="Mar" displayName="Mar" ref="A1:F44" totalsRowShown="0">
  <autoFilter ref="A1:F44" xr:uid="{9DFB0154-F65F-41F6-9953-4319FA4C6379}"/>
  <tableColumns count="6">
    <tableColumn id="1" xr3:uid="{2FCB6F77-0D60-401B-876C-2CB86BD5F048}" name="Columna1"/>
    <tableColumn id="2" xr3:uid="{7070BB01-013A-459C-AD3E-AD0F53C96032}" name="Fecha" dataDxfId="155"/>
    <tableColumn id="3" xr3:uid="{A6773F0A-5594-4152-9453-07B6C5487702}" name="Concepto"/>
    <tableColumn id="4" xr3:uid="{17BFA689-2C2A-4EB5-94E1-5250F9EF8DA6}" name="Descripcion"/>
    <tableColumn id="5" xr3:uid="{0AFB11FC-B6DA-4FF3-AE53-13ED0DA4AF95}" name="Monto" dataDxfId="154"/>
    <tableColumn id="6" xr3:uid="{011DA362-3AB5-4340-AA03-B0684A415F3D}" name="NroComprobant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444F5E4-4358-4163-AADF-BFE9A1455566}" name="Mar_Debitos" displayName="Mar_Debitos" ref="A1:J44" totalsRowCount="1">
  <autoFilter ref="A1:J43" xr:uid="{E444F5E4-4358-4163-AADF-BFE9A1455566}"/>
  <sortState xmlns:xlrd2="http://schemas.microsoft.com/office/spreadsheetml/2017/richdata2" ref="A2:J40">
    <sortCondition descending="1" ref="E1:E40"/>
  </sortState>
  <tableColumns count="10">
    <tableColumn id="1" xr3:uid="{76951C6B-5FBB-440D-A220-E9DE5665AAF8}" name="Columna1"/>
    <tableColumn id="2" xr3:uid="{0C046C92-656D-48A1-BF36-E9C7DA63D696}" name="Fecha" dataDxfId="153"/>
    <tableColumn id="3" xr3:uid="{8B5EC2EF-AEF4-4E2E-B6C0-65E899FDF3F0}" name="Concepto"/>
    <tableColumn id="4" xr3:uid="{341328A9-5313-4792-B334-91E91AC6F98A}" name="Descripcion"/>
    <tableColumn id="5" xr3:uid="{47355DAC-5CF0-4FAC-8EAB-A7AC7E495645}" name="Gastos" totalsRowFunction="sum" dataDxfId="152" totalsRowDxfId="151"/>
    <tableColumn id="6" xr3:uid="{FE9EC80F-D5E5-4EF4-8F88-0BEDFC3FAE31}" name="Tarjetas" totalsRowFunction="sum" dataDxfId="150" totalsRowDxfId="149"/>
    <tableColumn id="7" xr3:uid="{11C3AFDB-3C2D-481C-95CF-C735248D6C88}" name="Impuestos" totalsRowFunction="sum" dataDxfId="148" totalsRowDxfId="147"/>
    <tableColumn id="8" xr3:uid="{C5DC92EF-1CD2-49E1-ADCF-E9C5B8E6E9FE}" name="Inversiones" totalsRowFunction="sum" dataDxfId="146" totalsRowDxfId="145"/>
    <tableColumn id="9" xr3:uid="{ACF73503-B82A-4F54-989C-6555CA9B46BE}" name="Extracciones" totalsRowFunction="sum" dataDxfId="144" totalsRowDxfId="143"/>
    <tableColumn id="10" xr3:uid="{087134AD-B43B-4836-825F-EFED9A293D22}" name="Comentarios" totalsRowFunction="coun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44D0ACD-B351-400A-BCC5-3749B3031521}" name="Mar_Creditos" displayName="Mar_Creditos" ref="A1:F6" totalsRowCount="1">
  <autoFilter ref="A1:F5" xr:uid="{344D0ACD-B351-400A-BCC5-3749B3031521}"/>
  <tableColumns count="6">
    <tableColumn id="1" xr3:uid="{BFB78B2D-7F91-44AE-90E0-52D8E68DA84B}" name="Columna1"/>
    <tableColumn id="2" xr3:uid="{DD459813-DBCC-4AD7-8CEC-795B6AB34029}" name="Fecha" dataDxfId="142"/>
    <tableColumn id="3" xr3:uid="{0AACCADB-FEE4-41FE-8420-892DBDD25683}" name="Concepto"/>
    <tableColumn id="4" xr3:uid="{A4BAE1C0-E924-442B-9697-7F7978DC434F}" name="Descripcion"/>
    <tableColumn id="5" xr3:uid="{452492A5-3946-4712-B922-B7A5119F2B1D}" name="Haberes" totalsRowFunction="sum" dataDxfId="141"/>
    <tableColumn id="6" xr3:uid="{B1D807DE-9E1E-4659-BD65-FC611E6FB0C4}" name="Extras" totalsRowFunction="sum" dataDxfId="14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D578A65-F32A-48A4-8E8C-2FDA2B56FF37}" name="Mar_Efectivo" displayName="Mar_Efectivo" ref="A1:I9" totalsRowCount="1">
  <autoFilter ref="A1:I8" xr:uid="{BD578A65-F32A-48A4-8E8C-2FDA2B56FF37}"/>
  <tableColumns count="9">
    <tableColumn id="1" xr3:uid="{ECDA3DF4-2A0D-4CFB-9C62-45D8519005F0}" name="Fecha" dataDxfId="139"/>
    <tableColumn id="2" xr3:uid="{490A15F7-4A81-4DA1-BE0C-B4015BAFF8D1}" name="Concepto"/>
    <tableColumn id="3" xr3:uid="{1C1809CB-A478-41F0-ABE8-524DBE3ECCAE}" name="Descripcion"/>
    <tableColumn id="4" xr3:uid="{DAFC4FDD-82A9-4C36-96E4-FA58CC3E5928}" name="Gastos" totalsRowFunction="sum" dataDxfId="138" totalsRowDxfId="137"/>
    <tableColumn id="5" xr3:uid="{B73DABAE-8C7A-4439-B7D7-72D286F9423F}" name="Tarjetas" totalsRowFunction="sum" dataDxfId="136" totalsRowDxfId="135"/>
    <tableColumn id="6" xr3:uid="{BF1FB933-0547-45F4-B888-6FDC6DB43C7D}" name="Impuestos" totalsRowFunction="sum" dataDxfId="134" totalsRowDxfId="133"/>
    <tableColumn id="7" xr3:uid="{8FD257C0-9AD7-4B0C-B0A1-9BEA5B7F190C}" name="Inversiones" totalsRowFunction="sum" dataDxfId="132" totalsRowDxfId="131"/>
    <tableColumn id="8" xr3:uid="{B736325E-456B-449F-A3C0-080420DC255E}" name="Extras" totalsRowFunction="sum" dataDxfId="130" totalsRowDxfId="129"/>
    <tableColumn id="9" xr3:uid="{4A0C24E7-FD31-4986-BE8E-DB06FC4D7946}" name="Comentarios" totalsRowFunction="coun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022990-3BEB-4D49-BB4D-E13566E58D64}" name="Impuestos" displayName="Impuestos" ref="A3:Q14" headerRowDxfId="128" headerRowBorderDxfId="127" tableBorderDxfId="126" totalsRowBorderDxfId="125" headerRowCellStyle="Normal 5">
  <autoFilter ref="A3:Q14" xr:uid="{B336D66B-17B7-411B-A4DC-4031E82D2C0B}"/>
  <sortState xmlns:xlrd2="http://schemas.microsoft.com/office/spreadsheetml/2017/richdata2" ref="A4:Q14">
    <sortCondition descending="1" ref="A3:A14"/>
  </sortState>
  <tableColumns count="17">
    <tableColumn id="1" xr3:uid="{1487ED10-6D61-46B1-AFA0-AA3F81114F7C}" name="ADMINISTRACION" totalsRowDxfId="124"/>
    <tableColumn id="2" xr3:uid="{7BFD1A4A-E110-483C-A38D-ACC06332148A}" name="TIPO" totalsRowDxfId="123"/>
    <tableColumn id="3" xr3:uid="{F758E825-B84A-485E-A16D-795A51C8D83C}" name="DESCRIPCION" totalsRowDxfId="122"/>
    <tableColumn id="4" xr3:uid="{11D3FEE9-3B1D-46B7-A211-2A50C8A2F8A5}" name="CUENTA" totalsRowDxfId="121"/>
    <tableColumn id="5" xr3:uid="{7E771629-EA5D-4350-BDD3-B57FAAC43DB1}" name="PLAN" dataDxfId="120" totalsRowDxfId="119"/>
    <tableColumn id="6" xr3:uid="{6401949F-C7DB-4647-A179-BF56A1D63817}" name="FEB" dataDxfId="118" totalsRowDxfId="117"/>
    <tableColumn id="7" xr3:uid="{BD943641-F8D3-45A1-9FA2-583B9A44B0ED}" name="MAR" dataDxfId="116" totalsRowDxfId="115"/>
    <tableColumn id="8" xr3:uid="{82CE433E-936B-4D9F-8A98-77623F35C729}" name="ABR" dataDxfId="114" totalsRowDxfId="113"/>
    <tableColumn id="9" xr3:uid="{EB29C47E-B81E-4ADE-96A0-3AD025F5076F}" name="MAY" dataDxfId="112" totalsRowDxfId="111"/>
    <tableColumn id="10" xr3:uid="{23DB88CE-703E-4CF1-ABEB-241C62ECE885}" name="JUN" dataDxfId="110" totalsRowDxfId="109"/>
    <tableColumn id="11" xr3:uid="{A1FD9D70-D812-4431-88DA-F0B96237F587}" name="JUL" dataDxfId="108" totalsRowDxfId="107"/>
    <tableColumn id="12" xr3:uid="{9D734861-894C-4A6B-BDB8-CA9CBE7824F3}" name="AGO" dataDxfId="106" totalsRowDxfId="105"/>
    <tableColumn id="13" xr3:uid="{C3E02F4F-06CD-41CF-8170-AFC65EB6B15B}" name="SEP" dataDxfId="104" totalsRowDxfId="103"/>
    <tableColumn id="14" xr3:uid="{436B5670-8C6A-47FB-AD13-265DC92D5DAA}" name="OCT" dataDxfId="102" totalsRowDxfId="101"/>
    <tableColumn id="15" xr3:uid="{05AD1EBA-25FF-4366-BAF6-05E1A934F7EB}" name="NOV" dataDxfId="100" totalsRowDxfId="99"/>
    <tableColumn id="16" xr3:uid="{588B3E8B-E230-46F3-9D5C-4150A732E45E}" name="DIC" dataDxfId="98" totalsRowDxfId="97"/>
    <tableColumn id="17" xr3:uid="{D2D32357-66B2-4EE9-95AC-608D56FE104B}" name="ENE" totalsRowFunction="count" dataDxfId="96" totalsRowDxfId="95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F6A74C-3345-4E23-A5A0-C1DC6B23DA20}" name="Gastos" displayName="Gastos" ref="A2:N7" totalsRowCount="1" headerRowDxfId="94" dataDxfId="92" headerRowBorderDxfId="93" tableBorderDxfId="91" totalsRowBorderDxfId="90" headerRowCellStyle="Normal 5" dataCellStyle="Normal 5">
  <autoFilter ref="A2:N6" xr:uid="{86356B38-1384-42E5-A54B-8D87FCA8596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2ED36346-72FF-48BE-BF29-BCB4500E44F8}" name="GASTOS" dataDxfId="89" totalsRowDxfId="21" dataCellStyle="Normal 5"/>
    <tableColumn id="2" xr3:uid="{3FBA6CF0-9B93-4808-9F51-BFE4967A1BC7}" name="31-Ene" totalsRowFunction="sum" dataDxfId="88" totalsRowDxfId="20" dataCellStyle="Normal 5"/>
    <tableColumn id="3" xr3:uid="{57CCBCB3-852B-4E5F-8A34-6823B8F76956}" name="28-Feb" totalsRowFunction="sum" dataDxfId="87" totalsRowDxfId="19" dataCellStyle="Normal 5"/>
    <tableColumn id="4" xr3:uid="{C620524B-3914-43EB-9E27-62EC4E62B1F1}" name="31-Mar" totalsRowFunction="sum" dataDxfId="86" totalsRowDxfId="18" dataCellStyle="Normal 5"/>
    <tableColumn id="5" xr3:uid="{C554B744-3D73-4888-9C91-320782BDF853}" name="30-Abr" totalsRowFunction="sum" dataDxfId="85" totalsRowDxfId="17" dataCellStyle="Normal 5"/>
    <tableColumn id="6" xr3:uid="{3948A953-FDC1-4A6D-9413-353ED9DB195C}" name="31-May" totalsRowFunction="sum" dataDxfId="84" totalsRowDxfId="16" dataCellStyle="Normal 5"/>
    <tableColumn id="7" xr3:uid="{734D6270-6E82-450A-987A-B7597F7D8699}" name="30-Jun" totalsRowFunction="sum" dataDxfId="83" totalsRowDxfId="15" dataCellStyle="Normal 5"/>
    <tableColumn id="8" xr3:uid="{4AC32DE7-97B5-43AE-86EF-67DCC65240BA}" name="31-Jul" totalsRowFunction="sum" dataDxfId="82" totalsRowDxfId="14" dataCellStyle="Normal 5"/>
    <tableColumn id="9" xr3:uid="{010BE0B2-FDA0-46A8-B348-9E5204DABE05}" name="31-Ago" totalsRowFunction="sum" dataDxfId="81" totalsRowDxfId="13" dataCellStyle="Normal 5"/>
    <tableColumn id="10" xr3:uid="{747AA57A-B09F-40B4-80DD-1917F5D32991}" name="30-Sep" totalsRowFunction="sum" dataDxfId="80" totalsRowDxfId="12" dataCellStyle="Normal 5"/>
    <tableColumn id="11" xr3:uid="{EE21A246-190F-4DAF-A68F-E4DCC3A4B596}" name="31-Oct" totalsRowFunction="sum" dataDxfId="79" totalsRowDxfId="11" dataCellStyle="Normal 5"/>
    <tableColumn id="12" xr3:uid="{26ECEE0D-3AD8-4231-BF78-D1F66D8E550D}" name="30-Nov" totalsRowFunction="sum" dataDxfId="78" totalsRowDxfId="10" dataCellStyle="Normal 5"/>
    <tableColumn id="13" xr3:uid="{F756F653-DBDB-4E76-9D18-38AE49AECCCA}" name="31-Dic" totalsRowFunction="sum" dataDxfId="77" totalsRowDxfId="9" dataCellStyle="Normal 5"/>
    <tableColumn id="14" xr3:uid="{C6BBF813-A392-4D84-B0EC-85170A086E85}" name="ANUAL" totalsRowFunction="sum" dataDxfId="76" totalsRowDxfId="8" dataCellStyle="Normal 5"/>
  </tableColumns>
  <tableStyleInfo name="TableStyleLight14" showFirstColumn="1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A2D6EC5-7EB9-4B43-A5CA-307CB51281CE}" name="Tabla11" displayName="Tabla11" ref="A1:K18" totalsRowShown="0" headerRowDxfId="75" dataDxfId="73" headerRowBorderDxfId="74" tableBorderDxfId="72" headerRowCellStyle="Normal 5" dataCellStyle="Normal 5">
  <autoFilter ref="A1:K18" xr:uid="{DA2D6EC5-7EB9-4B43-A5CA-307CB51281CE}"/>
  <tableColumns count="11">
    <tableColumn id="1" xr3:uid="{58A226EC-216F-4D3F-9321-55304F89149E}" name="Fecha Emisión" dataDxfId="71" dataCellStyle="Normal 5"/>
    <tableColumn id="2" xr3:uid="{FB14E329-B0E2-4C5D-9EF3-D3DB463392DE}" name="Fecha Vencimiento" dataDxfId="70" dataCellStyle="Normal 5"/>
    <tableColumn id="3" xr3:uid="{8C341F49-C922-417C-BDD4-2AC0D6D9486C}" name="Capital" dataDxfId="69" dataCellStyle="Normal 5"/>
    <tableColumn id="4" xr3:uid="{039C2951-3DD5-4D94-ABE5-1C9DD8A8FB24}" name="Interes" dataDxfId="68" dataCellStyle="Normal 5"/>
    <tableColumn id="5" xr3:uid="{A5A0F7D3-A669-48C0-8FDD-78C8E42F4F25}" name="Total" dataDxfId="67" dataCellStyle="Normal 5"/>
    <tableColumn id="6" xr3:uid="{1E22B85A-3071-4E9B-9433-F047931F5C30}" name="Nombre" dataDxfId="66" dataCellStyle="Normal 5"/>
    <tableColumn id="7" xr3:uid="{435CFDC7-58E7-4611-B976-D7927AA6AAC7}" name="Tipo" dataDxfId="65" dataCellStyle="Normal 5"/>
    <tableColumn id="8" xr3:uid="{D7B92E3C-5D43-4848-B60D-461D66508A45}" name="Comentario" dataDxfId="64" dataCellStyle="Normal 5"/>
    <tableColumn id="9" xr3:uid="{8B1F31B3-FDB0-48FD-83E1-4A3F25434D7E}" name="ESTADO" dataDxfId="63" dataCellStyle="Normal 5"/>
    <tableColumn id="10" xr3:uid="{053E6DC0-FBA5-41E0-87A2-545DCA8F58DB}" name="Banco" dataDxfId="62" dataCellStyle="Normal 5"/>
    <tableColumn id="11" xr3:uid="{56AC4741-17AE-46DC-BF7C-ECEBB5CA5EB8}" name="Certificado" dataDxfId="61"/>
  </tableColumns>
  <tableStyleInfo name="TableStyleMedium1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7E06103-BF9F-4FC4-A6A1-0C9D17F5ED9C}" name="Tabla12" displayName="Tabla12" ref="A1:F36" totalsRowShown="0" headerRowDxfId="60" headerRowBorderDxfId="59" tableBorderDxfId="58" totalsRowBorderDxfId="57" headerRowCellStyle="Normal 5" dataCellStyle="Normal 5">
  <autoFilter ref="A1:F36" xr:uid="{F7E06103-BF9F-4FC4-A6A1-0C9D17F5ED9C}"/>
  <tableColumns count="6">
    <tableColumn id="1" xr3:uid="{063F5B1D-C4BF-407A-AB21-76C937C60C07}" name="Fecha" dataDxfId="56" dataCellStyle="Normal 5"/>
    <tableColumn id="2" xr3:uid="{0EA62BB1-2102-4D91-B5B6-276B7141CAC3}" name="Referencia" dataDxfId="55" dataCellStyle="Normal 5"/>
    <tableColumn id="3" xr3:uid="{09BD359A-FE44-4FA8-BDB9-52B1CC95973C}" name="Credito" dataDxfId="54" dataCellStyle="Normal 5"/>
    <tableColumn id="4" xr3:uid="{25DEE708-30D2-41D7-97FA-DD56786059EF}" name="Debito" dataDxfId="53" dataCellStyle="Normal 5"/>
    <tableColumn id="5" xr3:uid="{66646160-EA8C-489D-9675-BC2A23E133E7}" name="Saldo" dataDxfId="52" dataCellStyle="Normal 5"/>
    <tableColumn id="6" xr3:uid="{C8F47B0D-340F-4F2B-BA90-DD799DE39385}" name="Comentario" dataDxfId="51" dataCellStyle="Normal 5"/>
  </tableColumns>
  <tableStyleInfo name="TableStyleMedium1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2016C97-3076-4A84-B2BE-566BD0DA9520}" name="Tabla17" displayName="Tabla17" ref="A1:F12" totalsRowShown="0" headerRowDxfId="50" dataDxfId="48" headerRowBorderDxfId="49" tableBorderDxfId="47" totalsRowBorderDxfId="46" headerRowCellStyle="Normal 5" dataCellStyle="Normal 5">
  <autoFilter ref="A1:F12" xr:uid="{82016C97-3076-4A84-B2BE-566BD0DA9520}"/>
  <tableColumns count="6">
    <tableColumn id="1" xr3:uid="{D146D4BB-7EE7-4934-AF1F-C530CAB8F69A}" name="Fecha" dataDxfId="45" dataCellStyle="Normal 5"/>
    <tableColumn id="2" xr3:uid="{10A8A3EE-5E4A-4549-A26B-2CCE9CCF54A3}" name="Referencia" dataDxfId="44" dataCellStyle="Normal 5"/>
    <tableColumn id="3" xr3:uid="{E5524A58-CDC7-4B9D-A369-E139B4ADC299}" name="Credito" dataDxfId="43" dataCellStyle="Normal 5"/>
    <tableColumn id="4" xr3:uid="{4805DC1B-B2A9-47CE-8307-3E5AAA0BD3DC}" name="Debito" dataDxfId="42" dataCellStyle="Normal 5"/>
    <tableColumn id="5" xr3:uid="{CE8388DE-8DF3-4EAA-B094-146752D3A42B}" name="Saldo" dataDxfId="41" dataCellStyle="Normal 5"/>
    <tableColumn id="6" xr3:uid="{81910ADA-5C34-4007-8BD2-C790820F73ED}" name="Comentario" dataDxfId="40" dataCellStyle="Normal 5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33157-43DF-49F5-A08D-7CF81BA711C7}">
  <sheetPr codeName="Sheet3"/>
  <dimension ref="B2:M24"/>
  <sheetViews>
    <sheetView workbookViewId="0">
      <selection activeCell="I8" sqref="I8"/>
    </sheetView>
  </sheetViews>
  <sheetFormatPr baseColWidth="10" defaultColWidth="11" defaultRowHeight="15.75" x14ac:dyDescent="0.25"/>
  <cols>
    <col min="1" max="1" width="3.625" customWidth="1"/>
  </cols>
  <sheetData>
    <row r="2" spans="2:9" x14ac:dyDescent="0.25">
      <c r="F2" s="240" t="s">
        <v>15</v>
      </c>
      <c r="G2" s="240"/>
      <c r="H2" s="3" t="s">
        <v>342</v>
      </c>
    </row>
    <row r="11" spans="2:9" x14ac:dyDescent="0.25">
      <c r="B11" s="4" t="s">
        <v>16</v>
      </c>
    </row>
    <row r="12" spans="2:9" x14ac:dyDescent="0.25">
      <c r="B12" s="4"/>
    </row>
    <row r="13" spans="2:9" x14ac:dyDescent="0.25">
      <c r="B13" s="241" t="s">
        <v>17</v>
      </c>
      <c r="C13" s="241"/>
      <c r="D13" s="241"/>
      <c r="E13" s="241"/>
      <c r="F13" s="241"/>
      <c r="G13" s="241"/>
      <c r="H13" s="241"/>
      <c r="I13" s="241"/>
    </row>
    <row r="14" spans="2:9" x14ac:dyDescent="0.25">
      <c r="B14" s="241" t="s">
        <v>18</v>
      </c>
      <c r="C14" s="241"/>
      <c r="D14" s="241"/>
      <c r="E14" s="241"/>
      <c r="F14" s="241"/>
      <c r="G14" s="241"/>
      <c r="H14" s="241"/>
      <c r="I14" s="241"/>
    </row>
    <row r="15" spans="2:9" x14ac:dyDescent="0.25">
      <c r="B15" s="241" t="s">
        <v>19</v>
      </c>
      <c r="C15" s="241"/>
      <c r="D15" s="241"/>
      <c r="E15" s="241"/>
      <c r="F15" s="241"/>
      <c r="G15" s="241"/>
      <c r="H15" s="241"/>
      <c r="I15" s="241"/>
    </row>
    <row r="16" spans="2:9" x14ac:dyDescent="0.25">
      <c r="B16" s="241"/>
      <c r="C16" s="241"/>
      <c r="D16" s="241"/>
      <c r="E16" s="241"/>
      <c r="F16" s="241"/>
      <c r="G16" s="241"/>
      <c r="H16" s="241"/>
      <c r="I16" s="241"/>
    </row>
    <row r="17" spans="2:13" x14ac:dyDescent="0.25">
      <c r="B17" s="241"/>
      <c r="C17" s="241"/>
      <c r="D17" s="241"/>
      <c r="E17" s="241"/>
      <c r="F17" s="241"/>
      <c r="G17" s="241"/>
      <c r="H17" s="241"/>
      <c r="I17" s="241"/>
    </row>
    <row r="18" spans="2:13" x14ac:dyDescent="0.2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2:13" x14ac:dyDescent="0.25">
      <c r="B19" s="238" t="s">
        <v>20</v>
      </c>
      <c r="C19" s="238"/>
      <c r="D19" s="238"/>
      <c r="E19" s="238"/>
      <c r="F19" s="238"/>
      <c r="G19" s="238"/>
      <c r="H19" s="238"/>
      <c r="I19" s="238"/>
      <c r="J19" s="238"/>
      <c r="K19" s="238"/>
      <c r="L19" s="238"/>
      <c r="M19" s="238"/>
    </row>
    <row r="20" spans="2:13" x14ac:dyDescent="0.25">
      <c r="B20" s="239" t="s">
        <v>21</v>
      </c>
      <c r="C20" s="239"/>
      <c r="D20" s="239"/>
      <c r="E20" s="239"/>
      <c r="F20" s="239"/>
      <c r="G20" s="239"/>
      <c r="H20" s="239"/>
      <c r="I20" s="239"/>
      <c r="J20" s="239"/>
      <c r="K20" s="239"/>
      <c r="L20" s="239"/>
      <c r="M20" s="239"/>
    </row>
    <row r="21" spans="2:13" x14ac:dyDescent="0.25">
      <c r="B21" s="238" t="s">
        <v>22</v>
      </c>
      <c r="C21" s="238"/>
      <c r="D21" s="238"/>
      <c r="E21" s="238"/>
      <c r="F21" s="238"/>
      <c r="G21" s="238"/>
      <c r="H21" s="238"/>
      <c r="I21" s="238"/>
      <c r="J21" s="238"/>
      <c r="K21" s="238"/>
      <c r="L21" s="238"/>
      <c r="M21" s="238"/>
    </row>
    <row r="22" spans="2:13" x14ac:dyDescent="0.25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2:13" x14ac:dyDescent="0.2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</row>
    <row r="24" spans="2:13" x14ac:dyDescent="0.25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</sheetData>
  <mergeCells count="9">
    <mergeCell ref="B19:M19"/>
    <mergeCell ref="B20:M20"/>
    <mergeCell ref="B21:M21"/>
    <mergeCell ref="F2:G2"/>
    <mergeCell ref="B13:I13"/>
    <mergeCell ref="B14:I14"/>
    <mergeCell ref="B15:I15"/>
    <mergeCell ref="B16:I16"/>
    <mergeCell ref="B17:I17"/>
  </mergeCells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4">
          <controlPr defaultSize="0" autoLine="0" r:id="rId5">
            <anchor moveWithCells="1">
              <from>
                <xdr:col>0</xdr:col>
                <xdr:colOff>247650</xdr:colOff>
                <xdr:row>4</xdr:row>
                <xdr:rowOff>161925</xdr:rowOff>
              </from>
              <to>
                <xdr:col>4</xdr:col>
                <xdr:colOff>161925</xdr:colOff>
                <xdr:row>6</xdr:row>
                <xdr:rowOff>152400</xdr:rowOff>
              </to>
            </anchor>
          </controlPr>
        </control>
      </mc:Choice>
      <mc:Fallback>
        <control shapeId="1028" r:id="rId4" name="CommandButton4"/>
      </mc:Fallback>
    </mc:AlternateContent>
    <mc:AlternateContent xmlns:mc="http://schemas.openxmlformats.org/markup-compatibility/2006">
      <mc:Choice Requires="x14">
        <control shapeId="1027" r:id="rId6" name="CommandButton3">
          <controlPr defaultSize="0" autoLine="0" r:id="rId7">
            <anchor moveWithCells="1">
              <from>
                <xdr:col>0</xdr:col>
                <xdr:colOff>257175</xdr:colOff>
                <xdr:row>6</xdr:row>
                <xdr:rowOff>180975</xdr:rowOff>
              </from>
              <to>
                <xdr:col>4</xdr:col>
                <xdr:colOff>0</xdr:colOff>
                <xdr:row>8</xdr:row>
                <xdr:rowOff>152400</xdr:rowOff>
              </to>
            </anchor>
          </controlPr>
        </control>
      </mc:Choice>
      <mc:Fallback>
        <control shapeId="1027" r:id="rId6" name="CommandButton3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0</xdr:col>
                <xdr:colOff>228600</xdr:colOff>
                <xdr:row>3</xdr:row>
                <xdr:rowOff>19050</xdr:rowOff>
              </from>
              <to>
                <xdr:col>4</xdr:col>
                <xdr:colOff>9525</xdr:colOff>
                <xdr:row>4</xdr:row>
                <xdr:rowOff>142875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0</xdr:col>
                <xdr:colOff>209550</xdr:colOff>
                <xdr:row>1</xdr:row>
                <xdr:rowOff>0</xdr:rowOff>
              </from>
              <to>
                <xdr:col>4</xdr:col>
                <xdr:colOff>0</xdr:colOff>
                <xdr:row>2</xdr:row>
                <xdr:rowOff>190500</xdr:rowOff>
              </to>
            </anchor>
          </controlPr>
        </control>
      </mc:Choice>
      <mc:Fallback>
        <control shapeId="1025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0F2F2-562C-43E4-8520-2FC13FCC2B92}">
  <dimension ref="A2:I7"/>
  <sheetViews>
    <sheetView tabSelected="1" workbookViewId="0">
      <selection activeCell="C13" sqref="C13"/>
    </sheetView>
  </sheetViews>
  <sheetFormatPr baseColWidth="10" defaultRowHeight="15.75" x14ac:dyDescent="0.25"/>
  <sheetData>
    <row r="2" spans="1:9" x14ac:dyDescent="0.25">
      <c r="A2" s="240" t="s">
        <v>357</v>
      </c>
      <c r="B2" s="240"/>
      <c r="C2" s="240"/>
    </row>
    <row r="3" spans="1:9" x14ac:dyDescent="0.25">
      <c r="A3" s="242" t="s">
        <v>358</v>
      </c>
      <c r="B3" s="242"/>
      <c r="C3" s="242"/>
      <c r="D3" s="242"/>
      <c r="E3" s="242"/>
      <c r="F3" s="242"/>
      <c r="G3" s="242"/>
      <c r="H3" s="242"/>
      <c r="I3" s="242"/>
    </row>
    <row r="4" spans="1:9" x14ac:dyDescent="0.25">
      <c r="A4" s="242" t="s">
        <v>360</v>
      </c>
      <c r="B4" s="242"/>
      <c r="C4" s="242"/>
      <c r="D4" s="242"/>
      <c r="E4" s="242"/>
      <c r="F4" s="242"/>
      <c r="G4" s="242"/>
      <c r="H4" s="242"/>
      <c r="I4" s="242"/>
    </row>
    <row r="6" spans="1:9" x14ac:dyDescent="0.25">
      <c r="A6" s="242" t="s">
        <v>359</v>
      </c>
      <c r="B6" s="242"/>
      <c r="C6" s="242"/>
      <c r="D6" s="242"/>
      <c r="E6" s="242"/>
      <c r="F6" s="242"/>
      <c r="G6" s="242"/>
      <c r="H6" s="242"/>
      <c r="I6" s="242"/>
    </row>
    <row r="7" spans="1:9" x14ac:dyDescent="0.25">
      <c r="A7" s="242" t="s">
        <v>361</v>
      </c>
      <c r="B7" s="242"/>
      <c r="C7" s="242"/>
      <c r="D7" s="242"/>
      <c r="E7" s="242"/>
      <c r="F7" s="242"/>
      <c r="G7" s="242"/>
      <c r="H7" s="242"/>
      <c r="I7" s="242"/>
    </row>
  </sheetData>
  <mergeCells count="5">
    <mergeCell ref="A2:C2"/>
    <mergeCell ref="A3:I3"/>
    <mergeCell ref="A4:I4"/>
    <mergeCell ref="A6:I6"/>
    <mergeCell ref="A7:I7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B2E92-1C0F-4CFA-8C8E-AD477EDBE5D1}">
  <sheetPr codeName="Hoja1"/>
  <dimension ref="A1:F78"/>
  <sheetViews>
    <sheetView topLeftCell="A58" workbookViewId="0">
      <selection activeCell="C78" sqref="C78"/>
    </sheetView>
  </sheetViews>
  <sheetFormatPr baseColWidth="10" defaultRowHeight="15.75" x14ac:dyDescent="0.25"/>
  <cols>
    <col min="1" max="1" width="3.625" customWidth="1"/>
    <col min="2" max="2" width="10.625" customWidth="1"/>
    <col min="3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215</v>
      </c>
      <c r="F1" t="s">
        <v>216</v>
      </c>
    </row>
    <row r="2" spans="1:6" x14ac:dyDescent="0.25">
      <c r="A2">
        <v>0</v>
      </c>
      <c r="B2" s="143">
        <v>44592</v>
      </c>
      <c r="C2" t="s">
        <v>217</v>
      </c>
      <c r="D2" t="s">
        <v>218</v>
      </c>
      <c r="E2" s="144">
        <v>-2200</v>
      </c>
      <c r="F2">
        <v>126328</v>
      </c>
    </row>
    <row r="3" spans="1:6" x14ac:dyDescent="0.25">
      <c r="A3">
        <v>1</v>
      </c>
      <c r="B3" s="143">
        <v>44592</v>
      </c>
      <c r="C3" t="s">
        <v>217</v>
      </c>
      <c r="D3" t="s">
        <v>219</v>
      </c>
      <c r="E3" s="144">
        <v>-510</v>
      </c>
      <c r="F3">
        <v>72924</v>
      </c>
    </row>
    <row r="4" spans="1:6" x14ac:dyDescent="0.25">
      <c r="A4">
        <v>2</v>
      </c>
      <c r="B4" s="143">
        <v>44592</v>
      </c>
      <c r="C4" t="s">
        <v>217</v>
      </c>
      <c r="D4" t="s">
        <v>220</v>
      </c>
      <c r="E4" s="144">
        <v>-340</v>
      </c>
      <c r="F4">
        <v>205001</v>
      </c>
    </row>
    <row r="5" spans="1:6" x14ac:dyDescent="0.25">
      <c r="A5">
        <v>3</v>
      </c>
      <c r="B5" s="143">
        <v>44592</v>
      </c>
      <c r="C5" t="s">
        <v>217</v>
      </c>
      <c r="D5" t="s">
        <v>221</v>
      </c>
      <c r="E5" s="144">
        <v>-480</v>
      </c>
      <c r="F5">
        <v>84276</v>
      </c>
    </row>
    <row r="6" spans="1:6" x14ac:dyDescent="0.25">
      <c r="A6">
        <v>4</v>
      </c>
      <c r="B6" s="143">
        <v>44592</v>
      </c>
      <c r="C6" t="s">
        <v>217</v>
      </c>
      <c r="D6" t="s">
        <v>222</v>
      </c>
      <c r="E6" s="144">
        <v>-630</v>
      </c>
      <c r="F6">
        <v>56752</v>
      </c>
    </row>
    <row r="7" spans="1:6" x14ac:dyDescent="0.25">
      <c r="A7">
        <v>5</v>
      </c>
      <c r="B7" s="143">
        <v>44592</v>
      </c>
      <c r="C7" t="s">
        <v>223</v>
      </c>
      <c r="E7" s="144">
        <v>-1432.22</v>
      </c>
      <c r="F7">
        <v>0</v>
      </c>
    </row>
    <row r="8" spans="1:6" x14ac:dyDescent="0.25">
      <c r="A8">
        <v>6</v>
      </c>
      <c r="B8" s="143">
        <v>44592</v>
      </c>
      <c r="C8" t="s">
        <v>224</v>
      </c>
      <c r="E8" s="144">
        <v>-300.77</v>
      </c>
      <c r="F8">
        <v>0</v>
      </c>
    </row>
    <row r="9" spans="1:6" x14ac:dyDescent="0.25">
      <c r="A9">
        <v>7</v>
      </c>
      <c r="B9" s="143">
        <v>44589</v>
      </c>
      <c r="C9" t="s">
        <v>217</v>
      </c>
      <c r="D9" t="s">
        <v>225</v>
      </c>
      <c r="E9" s="144">
        <v>-614</v>
      </c>
      <c r="F9">
        <v>954819</v>
      </c>
    </row>
    <row r="10" spans="1:6" x14ac:dyDescent="0.25">
      <c r="A10">
        <v>8</v>
      </c>
      <c r="B10" s="143">
        <v>44589</v>
      </c>
      <c r="C10" t="s">
        <v>217</v>
      </c>
      <c r="D10" t="s">
        <v>226</v>
      </c>
      <c r="E10" s="144">
        <v>-2342</v>
      </c>
      <c r="F10">
        <v>428347</v>
      </c>
    </row>
    <row r="11" spans="1:6" x14ac:dyDescent="0.25">
      <c r="A11">
        <v>9</v>
      </c>
      <c r="B11" s="143">
        <v>44588</v>
      </c>
      <c r="C11" t="s">
        <v>217</v>
      </c>
      <c r="D11" t="s">
        <v>227</v>
      </c>
      <c r="E11" s="144">
        <v>-400</v>
      </c>
      <c r="F11">
        <v>163955</v>
      </c>
    </row>
    <row r="12" spans="1:6" x14ac:dyDescent="0.25">
      <c r="A12">
        <v>10</v>
      </c>
      <c r="B12" s="143">
        <v>44588</v>
      </c>
      <c r="C12" t="s">
        <v>228</v>
      </c>
      <c r="D12" t="s">
        <v>229</v>
      </c>
      <c r="E12" s="144">
        <v>-2500</v>
      </c>
      <c r="F12">
        <v>960824</v>
      </c>
    </row>
    <row r="13" spans="1:6" x14ac:dyDescent="0.25">
      <c r="A13">
        <v>11</v>
      </c>
      <c r="B13" s="143">
        <v>44587</v>
      </c>
      <c r="C13" t="s">
        <v>217</v>
      </c>
      <c r="D13" t="s">
        <v>230</v>
      </c>
      <c r="E13" s="144">
        <v>-4490</v>
      </c>
      <c r="F13">
        <v>98172</v>
      </c>
    </row>
    <row r="14" spans="1:6" x14ac:dyDescent="0.25">
      <c r="A14">
        <v>12</v>
      </c>
      <c r="B14" s="143">
        <v>44586</v>
      </c>
      <c r="C14" t="s">
        <v>217</v>
      </c>
      <c r="D14" t="s">
        <v>231</v>
      </c>
      <c r="E14" s="144">
        <v>-600</v>
      </c>
      <c r="F14">
        <v>86147</v>
      </c>
    </row>
    <row r="15" spans="1:6" x14ac:dyDescent="0.25">
      <c r="A15">
        <v>13</v>
      </c>
      <c r="B15" s="143">
        <v>44586</v>
      </c>
      <c r="C15" t="s">
        <v>232</v>
      </c>
      <c r="D15" t="s">
        <v>233</v>
      </c>
      <c r="E15" s="144">
        <v>-3000</v>
      </c>
      <c r="F15">
        <v>427437</v>
      </c>
    </row>
    <row r="16" spans="1:6" x14ac:dyDescent="0.25">
      <c r="A16">
        <v>14</v>
      </c>
      <c r="B16" s="143">
        <v>44586</v>
      </c>
      <c r="C16" t="s">
        <v>232</v>
      </c>
      <c r="D16" t="s">
        <v>234</v>
      </c>
      <c r="E16" s="144">
        <v>-6000</v>
      </c>
      <c r="F16">
        <v>417723</v>
      </c>
    </row>
    <row r="17" spans="1:6" x14ac:dyDescent="0.25">
      <c r="A17">
        <v>15</v>
      </c>
      <c r="B17" s="143">
        <v>44585</v>
      </c>
      <c r="C17" t="s">
        <v>217</v>
      </c>
      <c r="D17" t="s">
        <v>235</v>
      </c>
      <c r="E17" s="144">
        <v>-936</v>
      </c>
      <c r="F17">
        <v>103139</v>
      </c>
    </row>
    <row r="18" spans="1:6" x14ac:dyDescent="0.25">
      <c r="A18">
        <v>16</v>
      </c>
      <c r="B18" s="143">
        <v>44585</v>
      </c>
      <c r="C18" t="s">
        <v>217</v>
      </c>
      <c r="D18" t="s">
        <v>236</v>
      </c>
      <c r="E18" s="144">
        <v>-2460</v>
      </c>
      <c r="F18">
        <v>748611</v>
      </c>
    </row>
    <row r="19" spans="1:6" x14ac:dyDescent="0.25">
      <c r="A19">
        <v>17</v>
      </c>
      <c r="B19" s="143">
        <v>44585</v>
      </c>
      <c r="C19" t="s">
        <v>217</v>
      </c>
      <c r="D19" t="s">
        <v>237</v>
      </c>
      <c r="E19" s="144">
        <v>-300</v>
      </c>
      <c r="F19">
        <v>615089</v>
      </c>
    </row>
    <row r="20" spans="1:6" x14ac:dyDescent="0.25">
      <c r="A20">
        <v>18</v>
      </c>
      <c r="B20" s="143">
        <v>44585</v>
      </c>
      <c r="C20" t="s">
        <v>217</v>
      </c>
      <c r="D20" t="s">
        <v>238</v>
      </c>
      <c r="E20" s="144">
        <v>-1000</v>
      </c>
      <c r="F20">
        <v>328376</v>
      </c>
    </row>
    <row r="21" spans="1:6" x14ac:dyDescent="0.25">
      <c r="A21">
        <v>19</v>
      </c>
      <c r="B21" s="143">
        <v>44585</v>
      </c>
      <c r="C21" t="s">
        <v>217</v>
      </c>
      <c r="D21" t="s">
        <v>239</v>
      </c>
      <c r="E21" s="144">
        <v>-1400</v>
      </c>
      <c r="F21">
        <v>83158</v>
      </c>
    </row>
    <row r="22" spans="1:6" x14ac:dyDescent="0.25">
      <c r="A22">
        <v>20</v>
      </c>
      <c r="B22" s="143">
        <v>44585</v>
      </c>
      <c r="C22" t="s">
        <v>217</v>
      </c>
      <c r="D22" t="s">
        <v>222</v>
      </c>
      <c r="E22" s="144">
        <v>-590</v>
      </c>
      <c r="F22">
        <v>56700</v>
      </c>
    </row>
    <row r="23" spans="1:6" x14ac:dyDescent="0.25">
      <c r="A23">
        <v>21</v>
      </c>
      <c r="B23" s="143">
        <v>44585</v>
      </c>
      <c r="C23" t="s">
        <v>217</v>
      </c>
      <c r="D23" t="s">
        <v>240</v>
      </c>
      <c r="E23" s="144">
        <v>-310</v>
      </c>
      <c r="F23">
        <v>66776</v>
      </c>
    </row>
    <row r="24" spans="1:6" x14ac:dyDescent="0.25">
      <c r="A24">
        <v>22</v>
      </c>
      <c r="B24" s="143">
        <v>44585</v>
      </c>
      <c r="C24" t="s">
        <v>217</v>
      </c>
      <c r="D24" t="s">
        <v>225</v>
      </c>
      <c r="E24" s="144">
        <v>-1113</v>
      </c>
      <c r="F24">
        <v>48295</v>
      </c>
    </row>
    <row r="25" spans="1:6" x14ac:dyDescent="0.25">
      <c r="A25">
        <v>23</v>
      </c>
      <c r="B25" s="143">
        <v>44585</v>
      </c>
      <c r="C25" t="s">
        <v>241</v>
      </c>
      <c r="D25" t="s">
        <v>242</v>
      </c>
      <c r="E25" s="144">
        <v>-4000</v>
      </c>
      <c r="F25">
        <v>3931</v>
      </c>
    </row>
    <row r="26" spans="1:6" x14ac:dyDescent="0.25">
      <c r="A26">
        <v>24</v>
      </c>
      <c r="B26" s="143">
        <v>44585</v>
      </c>
      <c r="C26" t="s">
        <v>241</v>
      </c>
      <c r="D26" t="s">
        <v>242</v>
      </c>
      <c r="E26" s="144">
        <v>-4000</v>
      </c>
      <c r="F26">
        <v>3930</v>
      </c>
    </row>
    <row r="27" spans="1:6" x14ac:dyDescent="0.25">
      <c r="A27">
        <v>25</v>
      </c>
      <c r="B27" s="143">
        <v>44582</v>
      </c>
      <c r="C27" t="s">
        <v>217</v>
      </c>
      <c r="D27" t="s">
        <v>243</v>
      </c>
      <c r="E27" s="144">
        <v>-879.04</v>
      </c>
      <c r="F27">
        <v>519356</v>
      </c>
    </row>
    <row r="28" spans="1:6" x14ac:dyDescent="0.25">
      <c r="A28">
        <v>26</v>
      </c>
      <c r="B28" s="143">
        <v>44582</v>
      </c>
      <c r="C28" t="s">
        <v>217</v>
      </c>
      <c r="D28" t="s">
        <v>244</v>
      </c>
      <c r="E28" s="144">
        <v>-1066.4000000000001</v>
      </c>
      <c r="F28">
        <v>62634</v>
      </c>
    </row>
    <row r="29" spans="1:6" x14ac:dyDescent="0.25">
      <c r="A29">
        <v>27</v>
      </c>
      <c r="B29" s="143">
        <v>44581</v>
      </c>
      <c r="C29" t="s">
        <v>228</v>
      </c>
      <c r="D29" t="s">
        <v>245</v>
      </c>
      <c r="E29" s="144">
        <v>-5000</v>
      </c>
      <c r="F29">
        <v>723068</v>
      </c>
    </row>
    <row r="30" spans="1:6" x14ac:dyDescent="0.25">
      <c r="A30">
        <v>28</v>
      </c>
      <c r="B30" s="143">
        <v>44581</v>
      </c>
      <c r="C30" t="s">
        <v>232</v>
      </c>
      <c r="D30" t="s">
        <v>246</v>
      </c>
      <c r="E30" s="144">
        <v>-2565</v>
      </c>
      <c r="F30">
        <v>487015</v>
      </c>
    </row>
    <row r="31" spans="1:6" x14ac:dyDescent="0.25">
      <c r="A31">
        <v>29</v>
      </c>
      <c r="B31" s="143">
        <v>44581</v>
      </c>
      <c r="C31" t="s">
        <v>232</v>
      </c>
      <c r="D31" t="s">
        <v>247</v>
      </c>
      <c r="E31" s="144">
        <v>-600</v>
      </c>
      <c r="F31">
        <v>461603</v>
      </c>
    </row>
    <row r="32" spans="1:6" x14ac:dyDescent="0.25">
      <c r="A32">
        <v>30</v>
      </c>
      <c r="B32" s="143">
        <v>44580</v>
      </c>
      <c r="C32" t="s">
        <v>217</v>
      </c>
      <c r="D32" t="s">
        <v>248</v>
      </c>
      <c r="E32" s="144">
        <v>-200</v>
      </c>
      <c r="F32">
        <v>402327</v>
      </c>
    </row>
    <row r="33" spans="1:6" x14ac:dyDescent="0.25">
      <c r="A33">
        <v>31</v>
      </c>
      <c r="B33" s="143">
        <v>44580</v>
      </c>
      <c r="C33" t="s">
        <v>217</v>
      </c>
      <c r="D33" t="s">
        <v>249</v>
      </c>
      <c r="E33" s="144">
        <v>-1430</v>
      </c>
      <c r="F33">
        <v>524361</v>
      </c>
    </row>
    <row r="34" spans="1:6" x14ac:dyDescent="0.25">
      <c r="A34">
        <v>32</v>
      </c>
      <c r="B34" s="143">
        <v>44580</v>
      </c>
      <c r="C34" t="s">
        <v>217</v>
      </c>
      <c r="D34" t="s">
        <v>250</v>
      </c>
      <c r="E34" s="144">
        <v>-825</v>
      </c>
      <c r="F34">
        <v>376077</v>
      </c>
    </row>
    <row r="35" spans="1:6" x14ac:dyDescent="0.25">
      <c r="A35">
        <v>33</v>
      </c>
      <c r="B35" s="143">
        <v>44580</v>
      </c>
      <c r="C35" t="s">
        <v>251</v>
      </c>
      <c r="D35" t="s">
        <v>252</v>
      </c>
      <c r="E35" s="144">
        <v>10000</v>
      </c>
      <c r="F35">
        <v>465296</v>
      </c>
    </row>
    <row r="36" spans="1:6" x14ac:dyDescent="0.25">
      <c r="A36">
        <v>34</v>
      </c>
      <c r="B36" s="143">
        <v>44579</v>
      </c>
      <c r="C36" t="s">
        <v>217</v>
      </c>
      <c r="D36" t="s">
        <v>253</v>
      </c>
      <c r="E36" s="144">
        <v>-790</v>
      </c>
      <c r="F36">
        <v>84270</v>
      </c>
    </row>
    <row r="37" spans="1:6" x14ac:dyDescent="0.25">
      <c r="A37">
        <v>35</v>
      </c>
      <c r="B37" s="143">
        <v>44578</v>
      </c>
      <c r="C37" t="s">
        <v>217</v>
      </c>
      <c r="D37" t="s">
        <v>254</v>
      </c>
      <c r="E37" s="144">
        <v>-815</v>
      </c>
      <c r="F37">
        <v>244291</v>
      </c>
    </row>
    <row r="38" spans="1:6" x14ac:dyDescent="0.25">
      <c r="A38">
        <v>36</v>
      </c>
      <c r="B38" s="143">
        <v>44578</v>
      </c>
      <c r="C38" t="s">
        <v>217</v>
      </c>
      <c r="D38" t="s">
        <v>254</v>
      </c>
      <c r="E38" s="144">
        <v>-4710</v>
      </c>
      <c r="F38">
        <v>776498</v>
      </c>
    </row>
    <row r="39" spans="1:6" x14ac:dyDescent="0.25">
      <c r="A39">
        <v>37</v>
      </c>
      <c r="B39" s="143">
        <v>44575</v>
      </c>
      <c r="C39" t="s">
        <v>217</v>
      </c>
      <c r="D39" t="s">
        <v>255</v>
      </c>
      <c r="E39" s="144">
        <v>-1130</v>
      </c>
      <c r="F39">
        <v>74460</v>
      </c>
    </row>
    <row r="40" spans="1:6" x14ac:dyDescent="0.25">
      <c r="A40">
        <v>38</v>
      </c>
      <c r="B40" s="143">
        <v>44575</v>
      </c>
      <c r="C40" t="s">
        <v>217</v>
      </c>
      <c r="D40" t="s">
        <v>256</v>
      </c>
      <c r="E40" s="144">
        <v>-750</v>
      </c>
      <c r="F40">
        <v>73010</v>
      </c>
    </row>
    <row r="41" spans="1:6" x14ac:dyDescent="0.25">
      <c r="A41">
        <v>39</v>
      </c>
      <c r="B41" s="143">
        <v>44575</v>
      </c>
      <c r="C41" t="s">
        <v>217</v>
      </c>
      <c r="D41" t="s">
        <v>257</v>
      </c>
      <c r="E41" s="144">
        <v>-484</v>
      </c>
      <c r="F41">
        <v>90235</v>
      </c>
    </row>
    <row r="42" spans="1:6" x14ac:dyDescent="0.25">
      <c r="A42">
        <v>40</v>
      </c>
      <c r="B42" s="143">
        <v>44575</v>
      </c>
      <c r="C42" t="s">
        <v>241</v>
      </c>
      <c r="D42" t="s">
        <v>258</v>
      </c>
      <c r="E42" s="144">
        <v>-4000</v>
      </c>
      <c r="F42">
        <v>9499</v>
      </c>
    </row>
    <row r="43" spans="1:6" x14ac:dyDescent="0.25">
      <c r="A43">
        <v>41</v>
      </c>
      <c r="B43" s="143">
        <v>44575</v>
      </c>
      <c r="C43" t="s">
        <v>228</v>
      </c>
      <c r="D43" t="s">
        <v>259</v>
      </c>
      <c r="E43" s="144">
        <v>-15000</v>
      </c>
      <c r="F43">
        <v>498044</v>
      </c>
    </row>
    <row r="44" spans="1:6" x14ac:dyDescent="0.25">
      <c r="A44">
        <v>42</v>
      </c>
      <c r="B44" s="143">
        <v>44575</v>
      </c>
      <c r="C44" t="s">
        <v>260</v>
      </c>
      <c r="D44" t="s">
        <v>261</v>
      </c>
      <c r="E44" s="144">
        <v>-77452.649999999994</v>
      </c>
      <c r="F44">
        <v>220113</v>
      </c>
    </row>
    <row r="45" spans="1:6" x14ac:dyDescent="0.25">
      <c r="A45">
        <v>43</v>
      </c>
      <c r="B45" s="143">
        <v>44574</v>
      </c>
      <c r="C45" t="s">
        <v>217</v>
      </c>
      <c r="D45" t="s">
        <v>262</v>
      </c>
      <c r="E45" s="144">
        <v>-165</v>
      </c>
      <c r="F45">
        <v>984889</v>
      </c>
    </row>
    <row r="46" spans="1:6" x14ac:dyDescent="0.25">
      <c r="A46">
        <v>44</v>
      </c>
      <c r="B46" s="143">
        <v>44574</v>
      </c>
      <c r="C46" t="s">
        <v>217</v>
      </c>
      <c r="D46" t="s">
        <v>254</v>
      </c>
      <c r="E46" s="144">
        <v>-2090</v>
      </c>
      <c r="F46">
        <v>791055</v>
      </c>
    </row>
    <row r="47" spans="1:6" x14ac:dyDescent="0.25">
      <c r="A47">
        <v>45</v>
      </c>
      <c r="B47" s="143">
        <v>44574</v>
      </c>
      <c r="C47" t="s">
        <v>263</v>
      </c>
      <c r="D47" t="s">
        <v>264</v>
      </c>
      <c r="E47" s="144">
        <v>18000</v>
      </c>
      <c r="F47">
        <v>339395</v>
      </c>
    </row>
    <row r="48" spans="1:6" x14ac:dyDescent="0.25">
      <c r="A48">
        <v>46</v>
      </c>
      <c r="B48" s="143">
        <v>44574</v>
      </c>
      <c r="C48" t="s">
        <v>265</v>
      </c>
      <c r="E48" s="144">
        <v>-10900</v>
      </c>
      <c r="F48">
        <v>752826</v>
      </c>
    </row>
    <row r="49" spans="1:6" x14ac:dyDescent="0.25">
      <c r="A49">
        <v>47</v>
      </c>
      <c r="B49" s="143">
        <v>44574</v>
      </c>
      <c r="C49" t="s">
        <v>266</v>
      </c>
      <c r="E49" s="144">
        <v>-3270</v>
      </c>
      <c r="F49">
        <v>752826</v>
      </c>
    </row>
    <row r="50" spans="1:6" x14ac:dyDescent="0.25">
      <c r="A50">
        <v>48</v>
      </c>
      <c r="B50" s="143">
        <v>44574</v>
      </c>
      <c r="C50" t="s">
        <v>267</v>
      </c>
      <c r="E50" s="144">
        <v>-3815</v>
      </c>
      <c r="F50">
        <v>752826</v>
      </c>
    </row>
    <row r="51" spans="1:6" x14ac:dyDescent="0.25">
      <c r="A51">
        <v>49</v>
      </c>
      <c r="B51" s="143">
        <v>44573</v>
      </c>
      <c r="C51" t="s">
        <v>263</v>
      </c>
      <c r="D51" t="s">
        <v>268</v>
      </c>
      <c r="E51" s="144">
        <v>10000</v>
      </c>
      <c r="F51">
        <v>384009</v>
      </c>
    </row>
    <row r="52" spans="1:6" x14ac:dyDescent="0.25">
      <c r="A52">
        <v>50</v>
      </c>
      <c r="B52" s="143">
        <v>44572</v>
      </c>
      <c r="C52" t="s">
        <v>217</v>
      </c>
      <c r="D52" t="s">
        <v>269</v>
      </c>
      <c r="E52" s="144">
        <v>-1500</v>
      </c>
      <c r="F52">
        <v>625497</v>
      </c>
    </row>
    <row r="53" spans="1:6" x14ac:dyDescent="0.25">
      <c r="A53">
        <v>51</v>
      </c>
      <c r="B53" s="143">
        <v>44572</v>
      </c>
      <c r="C53" t="s">
        <v>217</v>
      </c>
      <c r="D53" t="s">
        <v>270</v>
      </c>
      <c r="E53" s="144">
        <v>-2800</v>
      </c>
      <c r="F53">
        <v>806780</v>
      </c>
    </row>
    <row r="54" spans="1:6" x14ac:dyDescent="0.25">
      <c r="A54">
        <v>52</v>
      </c>
      <c r="B54" s="143">
        <v>44572</v>
      </c>
      <c r="C54" t="s">
        <v>217</v>
      </c>
      <c r="D54" t="s">
        <v>271</v>
      </c>
      <c r="E54" s="144">
        <v>-806</v>
      </c>
      <c r="F54">
        <v>778305</v>
      </c>
    </row>
    <row r="55" spans="1:6" x14ac:dyDescent="0.25">
      <c r="A55">
        <v>53</v>
      </c>
      <c r="B55" s="143">
        <v>44572</v>
      </c>
      <c r="C55" t="s">
        <v>217</v>
      </c>
      <c r="D55" t="s">
        <v>254</v>
      </c>
      <c r="E55" s="144">
        <v>-1514</v>
      </c>
      <c r="F55">
        <v>730090</v>
      </c>
    </row>
    <row r="56" spans="1:6" x14ac:dyDescent="0.25">
      <c r="A56">
        <v>54</v>
      </c>
      <c r="B56" s="143">
        <v>44571</v>
      </c>
      <c r="C56" t="s">
        <v>217</v>
      </c>
      <c r="D56" t="s">
        <v>253</v>
      </c>
      <c r="E56" s="144">
        <v>-240</v>
      </c>
      <c r="F56">
        <v>84217</v>
      </c>
    </row>
    <row r="57" spans="1:6" x14ac:dyDescent="0.25">
      <c r="A57">
        <v>55</v>
      </c>
      <c r="B57" s="143">
        <v>44571</v>
      </c>
      <c r="C57" t="s">
        <v>217</v>
      </c>
      <c r="D57" t="s">
        <v>272</v>
      </c>
      <c r="E57" s="144">
        <v>-390</v>
      </c>
      <c r="F57">
        <v>251712</v>
      </c>
    </row>
    <row r="58" spans="1:6" x14ac:dyDescent="0.25">
      <c r="A58">
        <v>56</v>
      </c>
      <c r="B58" s="143">
        <v>44571</v>
      </c>
      <c r="C58" t="s">
        <v>217</v>
      </c>
      <c r="D58" t="s">
        <v>254</v>
      </c>
      <c r="E58" s="144">
        <v>-1930</v>
      </c>
      <c r="F58">
        <v>851271</v>
      </c>
    </row>
    <row r="59" spans="1:6" x14ac:dyDescent="0.25">
      <c r="A59">
        <v>57</v>
      </c>
      <c r="B59" s="143">
        <v>44571</v>
      </c>
      <c r="C59" t="s">
        <v>217</v>
      </c>
      <c r="D59" t="s">
        <v>272</v>
      </c>
      <c r="E59" s="144">
        <v>-490</v>
      </c>
      <c r="F59">
        <v>423085</v>
      </c>
    </row>
    <row r="60" spans="1:6" x14ac:dyDescent="0.25">
      <c r="A60">
        <v>58</v>
      </c>
      <c r="B60" s="143">
        <v>44571</v>
      </c>
      <c r="C60" t="s">
        <v>217</v>
      </c>
      <c r="D60" t="s">
        <v>273</v>
      </c>
      <c r="E60" s="144">
        <v>-5000</v>
      </c>
      <c r="F60">
        <v>400404</v>
      </c>
    </row>
    <row r="61" spans="1:6" x14ac:dyDescent="0.25">
      <c r="A61">
        <v>59</v>
      </c>
      <c r="B61" s="143">
        <v>44571</v>
      </c>
      <c r="C61" t="s">
        <v>217</v>
      </c>
      <c r="D61" t="s">
        <v>254</v>
      </c>
      <c r="E61" s="144">
        <v>-2050</v>
      </c>
      <c r="F61">
        <v>396670</v>
      </c>
    </row>
    <row r="62" spans="1:6" x14ac:dyDescent="0.25">
      <c r="A62">
        <v>60</v>
      </c>
      <c r="B62" s="143">
        <v>44568</v>
      </c>
      <c r="C62" t="s">
        <v>274</v>
      </c>
      <c r="D62" t="s">
        <v>275</v>
      </c>
      <c r="E62" s="144">
        <v>-34068.019999999997</v>
      </c>
      <c r="F62">
        <v>177856</v>
      </c>
    </row>
    <row r="63" spans="1:6" x14ac:dyDescent="0.25">
      <c r="A63">
        <v>61</v>
      </c>
      <c r="B63" s="143">
        <v>44568</v>
      </c>
      <c r="C63" t="s">
        <v>217</v>
      </c>
      <c r="D63" t="s">
        <v>276</v>
      </c>
      <c r="E63" s="144">
        <v>-200</v>
      </c>
      <c r="F63">
        <v>875226</v>
      </c>
    </row>
    <row r="64" spans="1:6" x14ac:dyDescent="0.25">
      <c r="A64">
        <v>62</v>
      </c>
      <c r="B64" s="143">
        <v>44568</v>
      </c>
      <c r="C64" t="s">
        <v>217</v>
      </c>
      <c r="D64" t="s">
        <v>277</v>
      </c>
      <c r="E64" s="144">
        <v>-964.21</v>
      </c>
      <c r="F64">
        <v>850801</v>
      </c>
    </row>
    <row r="65" spans="1:6" x14ac:dyDescent="0.25">
      <c r="A65">
        <v>63</v>
      </c>
      <c r="B65" s="143">
        <v>44568</v>
      </c>
      <c r="C65" t="s">
        <v>217</v>
      </c>
      <c r="D65" t="s">
        <v>257</v>
      </c>
      <c r="E65" s="144">
        <v>-480</v>
      </c>
      <c r="F65">
        <v>89868</v>
      </c>
    </row>
    <row r="66" spans="1:6" x14ac:dyDescent="0.25">
      <c r="A66">
        <v>64</v>
      </c>
      <c r="B66" s="143">
        <v>44568</v>
      </c>
      <c r="C66" t="s">
        <v>241</v>
      </c>
      <c r="D66" t="s">
        <v>258</v>
      </c>
      <c r="E66" s="144">
        <v>-4000</v>
      </c>
      <c r="F66">
        <v>1274</v>
      </c>
    </row>
    <row r="67" spans="1:6" x14ac:dyDescent="0.25">
      <c r="A67">
        <v>65</v>
      </c>
      <c r="B67" s="143">
        <v>44568</v>
      </c>
      <c r="C67" t="s">
        <v>241</v>
      </c>
      <c r="D67" t="s">
        <v>258</v>
      </c>
      <c r="E67" s="144">
        <v>-3000</v>
      </c>
      <c r="F67">
        <v>1273</v>
      </c>
    </row>
    <row r="68" spans="1:6" x14ac:dyDescent="0.25">
      <c r="A68">
        <v>66</v>
      </c>
      <c r="B68" s="143">
        <v>44567</v>
      </c>
      <c r="C68" t="s">
        <v>278</v>
      </c>
      <c r="D68" t="s">
        <v>279</v>
      </c>
      <c r="E68" s="144">
        <v>147958.43</v>
      </c>
      <c r="F68">
        <v>0</v>
      </c>
    </row>
    <row r="69" spans="1:6" x14ac:dyDescent="0.25">
      <c r="A69">
        <v>67</v>
      </c>
      <c r="B69" s="143">
        <v>44567</v>
      </c>
      <c r="C69" t="s">
        <v>280</v>
      </c>
      <c r="E69" s="144">
        <v>-1096.54</v>
      </c>
      <c r="F69">
        <v>0</v>
      </c>
    </row>
    <row r="70" spans="1:6" x14ac:dyDescent="0.25">
      <c r="A70">
        <v>68</v>
      </c>
      <c r="B70" s="143">
        <v>44566</v>
      </c>
      <c r="C70" t="s">
        <v>217</v>
      </c>
      <c r="D70" t="s">
        <v>254</v>
      </c>
      <c r="E70" s="144">
        <v>-1490</v>
      </c>
      <c r="F70">
        <v>837752</v>
      </c>
    </row>
    <row r="71" spans="1:6" x14ac:dyDescent="0.25">
      <c r="A71">
        <v>69</v>
      </c>
      <c r="B71" s="143">
        <v>44566</v>
      </c>
      <c r="C71" t="s">
        <v>217</v>
      </c>
      <c r="D71" t="s">
        <v>281</v>
      </c>
      <c r="E71" s="144">
        <v>-670</v>
      </c>
      <c r="F71">
        <v>27301</v>
      </c>
    </row>
    <row r="72" spans="1:6" x14ac:dyDescent="0.25">
      <c r="A72">
        <v>70</v>
      </c>
      <c r="B72" s="143">
        <v>44565</v>
      </c>
      <c r="C72" t="s">
        <v>282</v>
      </c>
      <c r="E72" s="144">
        <v>-7.43</v>
      </c>
      <c r="F72">
        <v>0</v>
      </c>
    </row>
    <row r="73" spans="1:6" x14ac:dyDescent="0.25">
      <c r="A73">
        <v>71</v>
      </c>
      <c r="B73" s="143">
        <v>44565</v>
      </c>
      <c r="C73" t="s">
        <v>224</v>
      </c>
      <c r="E73" s="144">
        <v>-1.56</v>
      </c>
      <c r="F73">
        <v>0</v>
      </c>
    </row>
    <row r="74" spans="1:6" x14ac:dyDescent="0.25">
      <c r="A74">
        <v>72</v>
      </c>
      <c r="B74" s="143">
        <v>44564</v>
      </c>
      <c r="C74" t="s">
        <v>217</v>
      </c>
      <c r="D74" t="s">
        <v>283</v>
      </c>
      <c r="E74" s="144">
        <v>-1500</v>
      </c>
      <c r="F74">
        <v>710462</v>
      </c>
    </row>
    <row r="75" spans="1:6" x14ac:dyDescent="0.25">
      <c r="A75">
        <v>73</v>
      </c>
      <c r="B75" s="143">
        <v>44564</v>
      </c>
      <c r="C75" t="s">
        <v>217</v>
      </c>
      <c r="D75" t="s">
        <v>222</v>
      </c>
      <c r="E75" s="144">
        <v>-640</v>
      </c>
      <c r="F75">
        <v>56465</v>
      </c>
    </row>
    <row r="76" spans="1:6" x14ac:dyDescent="0.25">
      <c r="A76">
        <v>74</v>
      </c>
      <c r="B76" s="143">
        <v>44564</v>
      </c>
      <c r="C76" t="s">
        <v>284</v>
      </c>
      <c r="D76" t="s">
        <v>285</v>
      </c>
      <c r="E76" s="144">
        <v>-3000</v>
      </c>
      <c r="F76">
        <v>3781</v>
      </c>
    </row>
    <row r="77" spans="1:6" x14ac:dyDescent="0.25">
      <c r="A77">
        <v>75</v>
      </c>
      <c r="B77" s="143">
        <v>44564</v>
      </c>
      <c r="C77" t="s">
        <v>284</v>
      </c>
      <c r="D77" t="s">
        <v>285</v>
      </c>
      <c r="E77" s="144">
        <v>-5000</v>
      </c>
      <c r="F77">
        <v>3779</v>
      </c>
    </row>
    <row r="78" spans="1:6" x14ac:dyDescent="0.25">
      <c r="A78">
        <v>76</v>
      </c>
      <c r="B78" s="143">
        <v>44562</v>
      </c>
      <c r="C78" t="s">
        <v>286</v>
      </c>
      <c r="E78" s="144">
        <v>5.0999999999999996</v>
      </c>
      <c r="F78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521EE-275C-4D73-95F8-D9DC733664EF}">
  <sheetPr codeName="Hoja10"/>
  <dimension ref="A1:J74"/>
  <sheetViews>
    <sheetView topLeftCell="A49" workbookViewId="0">
      <selection activeCell="C48" sqref="C48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9" width="12.625" style="144" customWidth="1"/>
    <col min="10" max="10" width="30.625" customWidth="1"/>
  </cols>
  <sheetData>
    <row r="1" spans="1:10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288</v>
      </c>
      <c r="F1" s="144" t="s">
        <v>289</v>
      </c>
      <c r="G1" s="144" t="s">
        <v>290</v>
      </c>
      <c r="H1" s="144" t="s">
        <v>291</v>
      </c>
      <c r="I1" s="144" t="s">
        <v>292</v>
      </c>
      <c r="J1" t="s">
        <v>293</v>
      </c>
    </row>
    <row r="2" spans="1:10" x14ac:dyDescent="0.25">
      <c r="A2">
        <v>0</v>
      </c>
      <c r="B2" s="143">
        <v>44592</v>
      </c>
      <c r="C2" t="s">
        <v>217</v>
      </c>
      <c r="D2" t="s">
        <v>218</v>
      </c>
      <c r="E2" s="144">
        <v>-2200</v>
      </c>
    </row>
    <row r="3" spans="1:10" x14ac:dyDescent="0.25">
      <c r="A3">
        <v>1</v>
      </c>
      <c r="B3" s="143">
        <v>44592</v>
      </c>
      <c r="C3" t="s">
        <v>217</v>
      </c>
      <c r="D3" t="s">
        <v>219</v>
      </c>
      <c r="E3" s="144">
        <v>-510</v>
      </c>
    </row>
    <row r="4" spans="1:10" x14ac:dyDescent="0.25">
      <c r="A4">
        <v>2</v>
      </c>
      <c r="B4" s="143">
        <v>44592</v>
      </c>
      <c r="C4" t="s">
        <v>217</v>
      </c>
      <c r="D4" t="s">
        <v>220</v>
      </c>
      <c r="E4" s="144">
        <v>-340</v>
      </c>
    </row>
    <row r="5" spans="1:10" x14ac:dyDescent="0.25">
      <c r="A5">
        <v>3</v>
      </c>
      <c r="B5" s="143">
        <v>44592</v>
      </c>
      <c r="C5" t="s">
        <v>217</v>
      </c>
      <c r="D5" t="s">
        <v>221</v>
      </c>
      <c r="E5" s="144">
        <v>-480</v>
      </c>
    </row>
    <row r="6" spans="1:10" x14ac:dyDescent="0.25">
      <c r="A6">
        <v>4</v>
      </c>
      <c r="B6" s="143">
        <v>44592</v>
      </c>
      <c r="C6" t="s">
        <v>217</v>
      </c>
      <c r="D6" t="s">
        <v>222</v>
      </c>
      <c r="E6" s="144">
        <v>-630</v>
      </c>
    </row>
    <row r="7" spans="1:10" x14ac:dyDescent="0.25">
      <c r="A7">
        <v>5</v>
      </c>
      <c r="B7" s="143">
        <v>44592</v>
      </c>
      <c r="C7" t="s">
        <v>223</v>
      </c>
      <c r="E7" s="144">
        <v>-1432.22</v>
      </c>
    </row>
    <row r="8" spans="1:10" x14ac:dyDescent="0.25">
      <c r="A8">
        <v>6</v>
      </c>
      <c r="B8" s="143">
        <v>44592</v>
      </c>
      <c r="C8" t="s">
        <v>224</v>
      </c>
      <c r="E8" s="144">
        <v>-300.77</v>
      </c>
    </row>
    <row r="9" spans="1:10" x14ac:dyDescent="0.25">
      <c r="A9">
        <v>7</v>
      </c>
      <c r="B9" s="143">
        <v>44589</v>
      </c>
      <c r="C9" t="s">
        <v>217</v>
      </c>
      <c r="D9" t="s">
        <v>225</v>
      </c>
      <c r="E9" s="144">
        <v>-614</v>
      </c>
    </row>
    <row r="10" spans="1:10" x14ac:dyDescent="0.25">
      <c r="A10">
        <v>8</v>
      </c>
      <c r="B10" s="143">
        <v>44589</v>
      </c>
      <c r="C10" t="s">
        <v>217</v>
      </c>
      <c r="D10" t="s">
        <v>226</v>
      </c>
      <c r="E10" s="144">
        <v>-2342</v>
      </c>
    </row>
    <row r="11" spans="1:10" x14ac:dyDescent="0.25">
      <c r="A11">
        <v>9</v>
      </c>
      <c r="B11" s="143">
        <v>44588</v>
      </c>
      <c r="C11" t="s">
        <v>217</v>
      </c>
      <c r="D11" t="s">
        <v>227</v>
      </c>
      <c r="E11" s="144">
        <v>-400</v>
      </c>
    </row>
    <row r="12" spans="1:10" x14ac:dyDescent="0.25">
      <c r="A12">
        <v>10</v>
      </c>
      <c r="B12" s="143">
        <v>44588</v>
      </c>
      <c r="C12" t="s">
        <v>228</v>
      </c>
      <c r="D12" t="s">
        <v>229</v>
      </c>
      <c r="E12" s="144">
        <v>-2500</v>
      </c>
    </row>
    <row r="13" spans="1:10" x14ac:dyDescent="0.25">
      <c r="A13">
        <v>11</v>
      </c>
      <c r="B13" s="143">
        <v>44587</v>
      </c>
      <c r="C13" t="s">
        <v>217</v>
      </c>
      <c r="D13" t="s">
        <v>230</v>
      </c>
      <c r="E13" s="144">
        <v>-4490</v>
      </c>
    </row>
    <row r="14" spans="1:10" x14ac:dyDescent="0.25">
      <c r="A14">
        <v>12</v>
      </c>
      <c r="B14" s="143">
        <v>44586</v>
      </c>
      <c r="C14" t="s">
        <v>217</v>
      </c>
      <c r="D14" t="s">
        <v>231</v>
      </c>
      <c r="E14" s="144">
        <v>-600</v>
      </c>
    </row>
    <row r="15" spans="1:10" x14ac:dyDescent="0.25">
      <c r="A15">
        <v>13</v>
      </c>
      <c r="B15" s="143">
        <v>44586</v>
      </c>
      <c r="C15" t="s">
        <v>232</v>
      </c>
      <c r="D15" t="s">
        <v>233</v>
      </c>
      <c r="E15" s="144">
        <v>-3000</v>
      </c>
    </row>
    <row r="16" spans="1:10" x14ac:dyDescent="0.25">
      <c r="A16">
        <v>14</v>
      </c>
      <c r="B16" s="143">
        <v>44586</v>
      </c>
      <c r="C16" t="s">
        <v>232</v>
      </c>
      <c r="D16" t="s">
        <v>234</v>
      </c>
      <c r="E16" s="144">
        <v>-6000</v>
      </c>
    </row>
    <row r="17" spans="1:9" x14ac:dyDescent="0.25">
      <c r="A17">
        <v>15</v>
      </c>
      <c r="B17" s="143">
        <v>44585</v>
      </c>
      <c r="C17" t="s">
        <v>217</v>
      </c>
      <c r="D17" t="s">
        <v>235</v>
      </c>
      <c r="E17" s="144">
        <v>-936</v>
      </c>
    </row>
    <row r="18" spans="1:9" x14ac:dyDescent="0.25">
      <c r="A18">
        <v>16</v>
      </c>
      <c r="B18" s="143">
        <v>44585</v>
      </c>
      <c r="C18" t="s">
        <v>217</v>
      </c>
      <c r="D18" t="s">
        <v>236</v>
      </c>
      <c r="E18" s="144">
        <v>-2460</v>
      </c>
    </row>
    <row r="19" spans="1:9" x14ac:dyDescent="0.25">
      <c r="A19">
        <v>17</v>
      </c>
      <c r="B19" s="143">
        <v>44585</v>
      </c>
      <c r="C19" t="s">
        <v>217</v>
      </c>
      <c r="D19" t="s">
        <v>237</v>
      </c>
      <c r="E19" s="144">
        <v>-300</v>
      </c>
    </row>
    <row r="20" spans="1:9" x14ac:dyDescent="0.25">
      <c r="A20">
        <v>18</v>
      </c>
      <c r="B20" s="143">
        <v>44585</v>
      </c>
      <c r="C20" t="s">
        <v>217</v>
      </c>
      <c r="D20" t="s">
        <v>238</v>
      </c>
      <c r="E20" s="144">
        <v>-1000</v>
      </c>
    </row>
    <row r="21" spans="1:9" x14ac:dyDescent="0.25">
      <c r="A21">
        <v>19</v>
      </c>
      <c r="B21" s="143">
        <v>44585</v>
      </c>
      <c r="C21" t="s">
        <v>217</v>
      </c>
      <c r="D21" t="s">
        <v>239</v>
      </c>
      <c r="E21" s="144">
        <v>-1400</v>
      </c>
    </row>
    <row r="22" spans="1:9" x14ac:dyDescent="0.25">
      <c r="A22">
        <v>20</v>
      </c>
      <c r="B22" s="143">
        <v>44585</v>
      </c>
      <c r="C22" t="s">
        <v>217</v>
      </c>
      <c r="D22" t="s">
        <v>222</v>
      </c>
      <c r="E22" s="144">
        <v>-590</v>
      </c>
    </row>
    <row r="23" spans="1:9" x14ac:dyDescent="0.25">
      <c r="A23">
        <v>21</v>
      </c>
      <c r="B23" s="143">
        <v>44585</v>
      </c>
      <c r="C23" t="s">
        <v>217</v>
      </c>
      <c r="D23" t="s">
        <v>240</v>
      </c>
      <c r="E23" s="144">
        <v>-310</v>
      </c>
    </row>
    <row r="24" spans="1:9" x14ac:dyDescent="0.25">
      <c r="A24">
        <v>22</v>
      </c>
      <c r="B24" s="143">
        <v>44585</v>
      </c>
      <c r="C24" t="s">
        <v>217</v>
      </c>
      <c r="D24" t="s">
        <v>225</v>
      </c>
      <c r="E24" s="144">
        <v>-1113</v>
      </c>
    </row>
    <row r="25" spans="1:9" x14ac:dyDescent="0.25">
      <c r="A25">
        <v>23</v>
      </c>
      <c r="B25" s="143">
        <v>44585</v>
      </c>
      <c r="C25" t="s">
        <v>241</v>
      </c>
      <c r="D25" t="s">
        <v>242</v>
      </c>
      <c r="I25" s="144">
        <v>-4000</v>
      </c>
    </row>
    <row r="26" spans="1:9" x14ac:dyDescent="0.25">
      <c r="A26">
        <v>24</v>
      </c>
      <c r="B26" s="143">
        <v>44585</v>
      </c>
      <c r="C26" t="s">
        <v>241</v>
      </c>
      <c r="D26" t="s">
        <v>242</v>
      </c>
      <c r="I26" s="144">
        <v>-4000</v>
      </c>
    </row>
    <row r="27" spans="1:9" x14ac:dyDescent="0.25">
      <c r="A27">
        <v>25</v>
      </c>
      <c r="B27" s="143">
        <v>44582</v>
      </c>
      <c r="C27" t="s">
        <v>217</v>
      </c>
      <c r="D27" t="s">
        <v>243</v>
      </c>
      <c r="E27" s="144">
        <v>-879.04</v>
      </c>
    </row>
    <row r="28" spans="1:9" x14ac:dyDescent="0.25">
      <c r="A28">
        <v>26</v>
      </c>
      <c r="B28" s="143">
        <v>44582</v>
      </c>
      <c r="C28" t="s">
        <v>217</v>
      </c>
      <c r="D28" t="s">
        <v>244</v>
      </c>
      <c r="E28" s="144">
        <v>-1066.4000000000001</v>
      </c>
    </row>
    <row r="29" spans="1:9" x14ac:dyDescent="0.25">
      <c r="A29">
        <v>27</v>
      </c>
      <c r="B29" s="143">
        <v>44581</v>
      </c>
      <c r="C29" t="s">
        <v>228</v>
      </c>
      <c r="D29" t="s">
        <v>245</v>
      </c>
      <c r="E29" s="144">
        <v>-5000</v>
      </c>
    </row>
    <row r="30" spans="1:9" x14ac:dyDescent="0.25">
      <c r="A30">
        <v>28</v>
      </c>
      <c r="B30" s="143">
        <v>44581</v>
      </c>
      <c r="C30" t="s">
        <v>232</v>
      </c>
      <c r="D30" t="s">
        <v>246</v>
      </c>
      <c r="E30" s="144">
        <v>-2565</v>
      </c>
    </row>
    <row r="31" spans="1:9" x14ac:dyDescent="0.25">
      <c r="A31">
        <v>29</v>
      </c>
      <c r="B31" s="143">
        <v>44581</v>
      </c>
      <c r="C31" t="s">
        <v>232</v>
      </c>
      <c r="D31" t="s">
        <v>247</v>
      </c>
      <c r="E31" s="144">
        <v>-600</v>
      </c>
    </row>
    <row r="32" spans="1:9" x14ac:dyDescent="0.25">
      <c r="A32">
        <v>30</v>
      </c>
      <c r="B32" s="143">
        <v>44580</v>
      </c>
      <c r="C32" t="s">
        <v>217</v>
      </c>
      <c r="D32" t="s">
        <v>248</v>
      </c>
      <c r="E32" s="144">
        <v>-200</v>
      </c>
    </row>
    <row r="33" spans="1:9" x14ac:dyDescent="0.25">
      <c r="A33">
        <v>31</v>
      </c>
      <c r="B33" s="143">
        <v>44580</v>
      </c>
      <c r="C33" t="s">
        <v>217</v>
      </c>
      <c r="D33" t="s">
        <v>249</v>
      </c>
      <c r="E33" s="144">
        <v>-1430</v>
      </c>
    </row>
    <row r="34" spans="1:9" x14ac:dyDescent="0.25">
      <c r="A34">
        <v>32</v>
      </c>
      <c r="B34" s="143">
        <v>44580</v>
      </c>
      <c r="C34" t="s">
        <v>217</v>
      </c>
      <c r="D34" t="s">
        <v>250</v>
      </c>
      <c r="E34" s="144">
        <v>-825</v>
      </c>
    </row>
    <row r="35" spans="1:9" x14ac:dyDescent="0.25">
      <c r="A35">
        <v>34</v>
      </c>
      <c r="B35" s="143">
        <v>44579</v>
      </c>
      <c r="C35" t="s">
        <v>217</v>
      </c>
      <c r="D35" t="s">
        <v>253</v>
      </c>
      <c r="E35" s="144">
        <v>-790</v>
      </c>
    </row>
    <row r="36" spans="1:9" x14ac:dyDescent="0.25">
      <c r="A36">
        <v>35</v>
      </c>
      <c r="B36" s="143">
        <v>44578</v>
      </c>
      <c r="C36" t="s">
        <v>217</v>
      </c>
      <c r="D36" t="s">
        <v>254</v>
      </c>
      <c r="E36" s="144">
        <v>-815</v>
      </c>
    </row>
    <row r="37" spans="1:9" x14ac:dyDescent="0.25">
      <c r="A37">
        <v>36</v>
      </c>
      <c r="B37" s="143">
        <v>44578</v>
      </c>
      <c r="C37" t="s">
        <v>217</v>
      </c>
      <c r="D37" t="s">
        <v>254</v>
      </c>
      <c r="E37" s="144">
        <v>-4710</v>
      </c>
    </row>
    <row r="38" spans="1:9" x14ac:dyDescent="0.25">
      <c r="A38">
        <v>37</v>
      </c>
      <c r="B38" s="143">
        <v>44575</v>
      </c>
      <c r="C38" t="s">
        <v>217</v>
      </c>
      <c r="D38" t="s">
        <v>255</v>
      </c>
      <c r="E38" s="144">
        <v>-1130</v>
      </c>
    </row>
    <row r="39" spans="1:9" x14ac:dyDescent="0.25">
      <c r="A39">
        <v>38</v>
      </c>
      <c r="B39" s="143">
        <v>44575</v>
      </c>
      <c r="C39" t="s">
        <v>217</v>
      </c>
      <c r="D39" t="s">
        <v>256</v>
      </c>
      <c r="E39" s="144">
        <v>-750</v>
      </c>
    </row>
    <row r="40" spans="1:9" x14ac:dyDescent="0.25">
      <c r="A40">
        <v>39</v>
      </c>
      <c r="B40" s="143">
        <v>44575</v>
      </c>
      <c r="C40" t="s">
        <v>217</v>
      </c>
      <c r="D40" t="s">
        <v>257</v>
      </c>
      <c r="E40" s="144">
        <v>-484</v>
      </c>
    </row>
    <row r="41" spans="1:9" x14ac:dyDescent="0.25">
      <c r="A41">
        <v>40</v>
      </c>
      <c r="B41" s="143">
        <v>44575</v>
      </c>
      <c r="C41" t="s">
        <v>241</v>
      </c>
      <c r="D41" t="s">
        <v>258</v>
      </c>
      <c r="I41" s="144">
        <v>-4000</v>
      </c>
    </row>
    <row r="42" spans="1:9" x14ac:dyDescent="0.25">
      <c r="A42">
        <v>41</v>
      </c>
      <c r="B42" s="143">
        <v>44575</v>
      </c>
      <c r="C42" t="s">
        <v>228</v>
      </c>
      <c r="D42" t="s">
        <v>259</v>
      </c>
      <c r="E42" s="144">
        <v>-15000</v>
      </c>
    </row>
    <row r="43" spans="1:9" x14ac:dyDescent="0.25">
      <c r="A43">
        <v>42</v>
      </c>
      <c r="B43" s="143">
        <v>44575</v>
      </c>
      <c r="C43" t="s">
        <v>260</v>
      </c>
      <c r="D43" t="s">
        <v>261</v>
      </c>
      <c r="F43" s="144">
        <v>-77452.649999999994</v>
      </c>
      <c r="G43" s="145">
        <v>-9432</v>
      </c>
    </row>
    <row r="44" spans="1:9" x14ac:dyDescent="0.25">
      <c r="A44">
        <v>43</v>
      </c>
      <c r="B44" s="143">
        <v>44574</v>
      </c>
      <c r="C44" t="s">
        <v>217</v>
      </c>
      <c r="D44" t="s">
        <v>262</v>
      </c>
      <c r="E44" s="144">
        <v>-165</v>
      </c>
    </row>
    <row r="45" spans="1:9" x14ac:dyDescent="0.25">
      <c r="A45">
        <v>44</v>
      </c>
      <c r="B45" s="143">
        <v>44574</v>
      </c>
      <c r="C45" t="s">
        <v>217</v>
      </c>
      <c r="D45" t="s">
        <v>254</v>
      </c>
      <c r="E45" s="144">
        <v>-2090</v>
      </c>
    </row>
    <row r="46" spans="1:9" x14ac:dyDescent="0.25">
      <c r="A46">
        <v>46</v>
      </c>
      <c r="B46" s="143">
        <v>44574</v>
      </c>
      <c r="C46" t="s">
        <v>265</v>
      </c>
      <c r="H46" s="144">
        <v>-10900</v>
      </c>
    </row>
    <row r="47" spans="1:9" x14ac:dyDescent="0.25">
      <c r="A47">
        <v>47</v>
      </c>
      <c r="B47" s="143">
        <v>44574</v>
      </c>
      <c r="C47" t="s">
        <v>266</v>
      </c>
      <c r="H47" s="144">
        <v>-3270</v>
      </c>
    </row>
    <row r="48" spans="1:9" x14ac:dyDescent="0.25">
      <c r="A48">
        <v>48</v>
      </c>
      <c r="B48" s="143">
        <v>44574</v>
      </c>
      <c r="C48" t="s">
        <v>267</v>
      </c>
      <c r="H48" s="144">
        <v>-3815</v>
      </c>
    </row>
    <row r="49" spans="1:9" x14ac:dyDescent="0.25">
      <c r="A49">
        <v>50</v>
      </c>
      <c r="B49" s="143">
        <v>44572</v>
      </c>
      <c r="C49" t="s">
        <v>217</v>
      </c>
      <c r="D49" t="s">
        <v>269</v>
      </c>
      <c r="E49" s="144">
        <v>-1500</v>
      </c>
    </row>
    <row r="50" spans="1:9" x14ac:dyDescent="0.25">
      <c r="A50">
        <v>51</v>
      </c>
      <c r="B50" s="143">
        <v>44572</v>
      </c>
      <c r="C50" t="s">
        <v>217</v>
      </c>
      <c r="D50" t="s">
        <v>270</v>
      </c>
      <c r="E50" s="144">
        <v>-2800</v>
      </c>
    </row>
    <row r="51" spans="1:9" x14ac:dyDescent="0.25">
      <c r="A51">
        <v>52</v>
      </c>
      <c r="B51" s="143">
        <v>44572</v>
      </c>
      <c r="C51" t="s">
        <v>217</v>
      </c>
      <c r="D51" t="s">
        <v>271</v>
      </c>
      <c r="E51" s="144">
        <v>-806</v>
      </c>
    </row>
    <row r="52" spans="1:9" x14ac:dyDescent="0.25">
      <c r="A52">
        <v>53</v>
      </c>
      <c r="B52" s="143">
        <v>44572</v>
      </c>
      <c r="C52" t="s">
        <v>217</v>
      </c>
      <c r="D52" t="s">
        <v>254</v>
      </c>
      <c r="E52" s="144">
        <v>-1514</v>
      </c>
    </row>
    <row r="53" spans="1:9" x14ac:dyDescent="0.25">
      <c r="A53">
        <v>54</v>
      </c>
      <c r="B53" s="143">
        <v>44571</v>
      </c>
      <c r="C53" t="s">
        <v>217</v>
      </c>
      <c r="D53" t="s">
        <v>253</v>
      </c>
      <c r="E53" s="144">
        <v>-240</v>
      </c>
    </row>
    <row r="54" spans="1:9" x14ac:dyDescent="0.25">
      <c r="A54">
        <v>55</v>
      </c>
      <c r="B54" s="143">
        <v>44571</v>
      </c>
      <c r="C54" t="s">
        <v>217</v>
      </c>
      <c r="D54" t="s">
        <v>272</v>
      </c>
      <c r="E54" s="144">
        <v>-390</v>
      </c>
    </row>
    <row r="55" spans="1:9" x14ac:dyDescent="0.25">
      <c r="A55">
        <v>56</v>
      </c>
      <c r="B55" s="143">
        <v>44571</v>
      </c>
      <c r="C55" t="s">
        <v>217</v>
      </c>
      <c r="D55" t="s">
        <v>254</v>
      </c>
      <c r="E55" s="144">
        <v>-1930</v>
      </c>
    </row>
    <row r="56" spans="1:9" x14ac:dyDescent="0.25">
      <c r="A56">
        <v>57</v>
      </c>
      <c r="B56" s="143">
        <v>44571</v>
      </c>
      <c r="C56" t="s">
        <v>217</v>
      </c>
      <c r="D56" t="s">
        <v>272</v>
      </c>
      <c r="E56" s="144">
        <v>-490</v>
      </c>
    </row>
    <row r="57" spans="1:9" x14ac:dyDescent="0.25">
      <c r="A57">
        <v>58</v>
      </c>
      <c r="B57" s="143">
        <v>44571</v>
      </c>
      <c r="C57" t="s">
        <v>217</v>
      </c>
      <c r="D57" t="s">
        <v>273</v>
      </c>
      <c r="E57" s="144">
        <v>-5000</v>
      </c>
    </row>
    <row r="58" spans="1:9" x14ac:dyDescent="0.25">
      <c r="A58">
        <v>59</v>
      </c>
      <c r="B58" s="143">
        <v>44571</v>
      </c>
      <c r="C58" t="s">
        <v>217</v>
      </c>
      <c r="D58" t="s">
        <v>254</v>
      </c>
      <c r="E58" s="144">
        <v>-2050</v>
      </c>
    </row>
    <row r="59" spans="1:9" x14ac:dyDescent="0.25">
      <c r="A59">
        <v>60</v>
      </c>
      <c r="B59" s="143">
        <v>44568</v>
      </c>
      <c r="C59" t="s">
        <v>274</v>
      </c>
      <c r="D59" t="s">
        <v>275</v>
      </c>
      <c r="F59" s="144">
        <v>-34068.019999999997</v>
      </c>
    </row>
    <row r="60" spans="1:9" x14ac:dyDescent="0.25">
      <c r="A60">
        <v>61</v>
      </c>
      <c r="B60" s="143">
        <v>44568</v>
      </c>
      <c r="C60" t="s">
        <v>217</v>
      </c>
      <c r="D60" t="s">
        <v>276</v>
      </c>
      <c r="E60" s="144">
        <v>-200</v>
      </c>
    </row>
    <row r="61" spans="1:9" x14ac:dyDescent="0.25">
      <c r="A61">
        <v>62</v>
      </c>
      <c r="B61" s="143">
        <v>44568</v>
      </c>
      <c r="C61" t="s">
        <v>217</v>
      </c>
      <c r="D61" t="s">
        <v>277</v>
      </c>
      <c r="E61" s="144">
        <v>-964.21</v>
      </c>
    </row>
    <row r="62" spans="1:9" x14ac:dyDescent="0.25">
      <c r="A62">
        <v>63</v>
      </c>
      <c r="B62" s="143">
        <v>44568</v>
      </c>
      <c r="C62" t="s">
        <v>217</v>
      </c>
      <c r="D62" t="s">
        <v>257</v>
      </c>
      <c r="E62" s="144">
        <v>-480</v>
      </c>
    </row>
    <row r="63" spans="1:9" x14ac:dyDescent="0.25">
      <c r="A63">
        <v>64</v>
      </c>
      <c r="B63" s="143">
        <v>44568</v>
      </c>
      <c r="C63" t="s">
        <v>241</v>
      </c>
      <c r="D63" t="s">
        <v>258</v>
      </c>
      <c r="I63" s="144">
        <v>-4000</v>
      </c>
    </row>
    <row r="64" spans="1:9" x14ac:dyDescent="0.25">
      <c r="A64">
        <v>65</v>
      </c>
      <c r="B64" s="143">
        <v>44568</v>
      </c>
      <c r="C64" t="s">
        <v>241</v>
      </c>
      <c r="D64" t="s">
        <v>258</v>
      </c>
      <c r="I64" s="144">
        <v>-3000</v>
      </c>
    </row>
    <row r="65" spans="1:10" x14ac:dyDescent="0.25">
      <c r="A65">
        <v>67</v>
      </c>
      <c r="B65" s="143">
        <v>44567</v>
      </c>
      <c r="C65" t="s">
        <v>280</v>
      </c>
      <c r="E65" s="144">
        <v>-1096.54</v>
      </c>
    </row>
    <row r="66" spans="1:10" x14ac:dyDescent="0.25">
      <c r="A66">
        <v>68</v>
      </c>
      <c r="B66" s="143">
        <v>44566</v>
      </c>
      <c r="C66" t="s">
        <v>217</v>
      </c>
      <c r="D66" t="s">
        <v>254</v>
      </c>
      <c r="E66" s="144">
        <v>-1490</v>
      </c>
    </row>
    <row r="67" spans="1:10" x14ac:dyDescent="0.25">
      <c r="A67">
        <v>69</v>
      </c>
      <c r="B67" s="143">
        <v>44566</v>
      </c>
      <c r="C67" t="s">
        <v>217</v>
      </c>
      <c r="D67" t="s">
        <v>281</v>
      </c>
      <c r="E67" s="144">
        <v>-670</v>
      </c>
    </row>
    <row r="68" spans="1:10" x14ac:dyDescent="0.25">
      <c r="A68">
        <v>70</v>
      </c>
      <c r="B68" s="143">
        <v>44565</v>
      </c>
      <c r="C68" t="s">
        <v>282</v>
      </c>
      <c r="E68" s="144">
        <v>-7.43</v>
      </c>
    </row>
    <row r="69" spans="1:10" x14ac:dyDescent="0.25">
      <c r="A69">
        <v>71</v>
      </c>
      <c r="B69" s="143">
        <v>44565</v>
      </c>
      <c r="C69" t="s">
        <v>224</v>
      </c>
      <c r="E69" s="144">
        <v>-1.56</v>
      </c>
    </row>
    <row r="70" spans="1:10" x14ac:dyDescent="0.25">
      <c r="A70">
        <v>72</v>
      </c>
      <c r="B70" s="143">
        <v>44564</v>
      </c>
      <c r="C70" t="s">
        <v>217</v>
      </c>
      <c r="D70" t="s">
        <v>283</v>
      </c>
      <c r="E70" s="144">
        <v>-1500</v>
      </c>
    </row>
    <row r="71" spans="1:10" x14ac:dyDescent="0.25">
      <c r="A71">
        <v>73</v>
      </c>
      <c r="B71" s="143">
        <v>44564</v>
      </c>
      <c r="C71" t="s">
        <v>217</v>
      </c>
      <c r="D71" t="s">
        <v>222</v>
      </c>
      <c r="E71" s="144">
        <v>-640</v>
      </c>
    </row>
    <row r="72" spans="1:10" x14ac:dyDescent="0.25">
      <c r="A72">
        <v>74</v>
      </c>
      <c r="B72" s="143">
        <v>44564</v>
      </c>
      <c r="C72" t="s">
        <v>284</v>
      </c>
      <c r="D72" t="s">
        <v>285</v>
      </c>
      <c r="I72" s="144">
        <v>-3000</v>
      </c>
    </row>
    <row r="73" spans="1:10" x14ac:dyDescent="0.25">
      <c r="A73">
        <v>75</v>
      </c>
      <c r="B73" s="143">
        <v>44564</v>
      </c>
      <c r="C73" t="s">
        <v>284</v>
      </c>
      <c r="D73" t="s">
        <v>285</v>
      </c>
      <c r="I73" s="144">
        <v>-5000</v>
      </c>
    </row>
    <row r="74" spans="1:10" x14ac:dyDescent="0.25">
      <c r="E74" s="144">
        <f>SUBTOTAL(109,Ene_Debitos[Gastos])</f>
        <v>-96217.169999999984</v>
      </c>
      <c r="F74" s="144">
        <f>SUBTOTAL(109,Ene_Debitos[Tarjetas])</f>
        <v>-111520.66999999998</v>
      </c>
      <c r="G74" s="144">
        <f>SUBTOTAL(109,Ene_Debitos[Impuestos])</f>
        <v>-9432</v>
      </c>
      <c r="H74" s="144">
        <f>SUBTOTAL(109,Ene_Debitos[Inversiones])</f>
        <v>-17985</v>
      </c>
      <c r="I74" s="144">
        <f>SUBTOTAL(109,Ene_Debitos[Extracciones])</f>
        <v>-27000</v>
      </c>
      <c r="J74">
        <f>SUBTOTAL(103,Ene_Debitos[Comentarios])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9F19A-02F0-4B52-8FA1-F28921D49471}">
  <sheetPr codeName="Hoja11"/>
  <dimension ref="A1:F7"/>
  <sheetViews>
    <sheetView workbookViewId="0">
      <selection activeCell="F12" sqref="F12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6" width="12.625" style="144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294</v>
      </c>
      <c r="F1" s="144" t="s">
        <v>295</v>
      </c>
    </row>
    <row r="2" spans="1:6" x14ac:dyDescent="0.25">
      <c r="A2">
        <v>33</v>
      </c>
      <c r="B2" s="143">
        <v>44580</v>
      </c>
      <c r="C2" t="s">
        <v>251</v>
      </c>
      <c r="D2" t="s">
        <v>252</v>
      </c>
      <c r="F2" s="144">
        <v>10000</v>
      </c>
    </row>
    <row r="3" spans="1:6" x14ac:dyDescent="0.25">
      <c r="A3">
        <v>45</v>
      </c>
      <c r="B3" s="143">
        <v>44574</v>
      </c>
      <c r="C3" t="s">
        <v>263</v>
      </c>
      <c r="D3" t="s">
        <v>264</v>
      </c>
      <c r="F3" s="144">
        <v>18000</v>
      </c>
    </row>
    <row r="4" spans="1:6" x14ac:dyDescent="0.25">
      <c r="A4">
        <v>49</v>
      </c>
      <c r="B4" s="143">
        <v>44573</v>
      </c>
      <c r="C4" t="s">
        <v>263</v>
      </c>
      <c r="D4" t="s">
        <v>268</v>
      </c>
      <c r="F4" s="144">
        <v>10000</v>
      </c>
    </row>
    <row r="5" spans="1:6" x14ac:dyDescent="0.25">
      <c r="A5">
        <v>66</v>
      </c>
      <c r="B5" s="143">
        <v>44567</v>
      </c>
      <c r="C5" t="s">
        <v>278</v>
      </c>
      <c r="D5" t="s">
        <v>279</v>
      </c>
      <c r="E5" s="144">
        <v>147958.43</v>
      </c>
    </row>
    <row r="6" spans="1:6" x14ac:dyDescent="0.25">
      <c r="A6">
        <v>76</v>
      </c>
      <c r="B6" s="143">
        <v>44562</v>
      </c>
      <c r="C6" t="s">
        <v>286</v>
      </c>
      <c r="F6" s="144">
        <v>5.0999999999999996</v>
      </c>
    </row>
    <row r="7" spans="1:6" x14ac:dyDescent="0.25">
      <c r="E7" s="144">
        <f>SUBTOTAL(109,Ene_Creditos[Haberes])</f>
        <v>147958.43</v>
      </c>
      <c r="F7" s="144">
        <f>SUBTOTAL(109,Ene_Creditos[Extras])</f>
        <v>38005.1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75311-98EA-4517-8AFD-C2CA8FB875A4}">
  <sheetPr codeName="Hoja12"/>
  <dimension ref="A1:I6"/>
  <sheetViews>
    <sheetView workbookViewId="0">
      <selection activeCell="C10" sqref="C10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213</v>
      </c>
      <c r="C1" t="s">
        <v>214</v>
      </c>
      <c r="D1" s="144" t="s">
        <v>288</v>
      </c>
      <c r="E1" s="144" t="s">
        <v>289</v>
      </c>
      <c r="F1" s="144" t="s">
        <v>290</v>
      </c>
      <c r="G1" s="144" t="s">
        <v>291</v>
      </c>
      <c r="H1" s="144" t="s">
        <v>295</v>
      </c>
      <c r="I1" t="s">
        <v>293</v>
      </c>
    </row>
    <row r="2" spans="1:9" x14ac:dyDescent="0.25">
      <c r="A2" s="143">
        <v>44562</v>
      </c>
      <c r="B2" t="s">
        <v>296</v>
      </c>
      <c r="C2" t="s">
        <v>297</v>
      </c>
      <c r="D2" s="144">
        <v>-4120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44563</v>
      </c>
      <c r="B3" t="s">
        <v>298</v>
      </c>
      <c r="C3" t="s">
        <v>297</v>
      </c>
      <c r="D3" s="144">
        <v>-5460</v>
      </c>
    </row>
    <row r="4" spans="1:9" x14ac:dyDescent="0.25">
      <c r="A4" s="143">
        <v>44564</v>
      </c>
      <c r="B4" t="s">
        <v>298</v>
      </c>
      <c r="D4" s="144">
        <v>-14485</v>
      </c>
    </row>
    <row r="5" spans="1:9" x14ac:dyDescent="0.25">
      <c r="A5" s="152">
        <v>44587</v>
      </c>
      <c r="B5" s="153" t="s">
        <v>299</v>
      </c>
      <c r="C5" s="153"/>
      <c r="D5" s="145"/>
      <c r="E5" s="145"/>
      <c r="F5" s="145"/>
      <c r="G5" s="145"/>
      <c r="H5" s="145">
        <v>27000</v>
      </c>
    </row>
    <row r="6" spans="1:9" x14ac:dyDescent="0.25">
      <c r="D6" s="144">
        <f>SUBTOTAL(109,Ene_Efectivo[Gastos])</f>
        <v>-24065</v>
      </c>
      <c r="E6"/>
      <c r="F6"/>
      <c r="G6"/>
      <c r="H6" s="144">
        <f>SUBTOTAL(109,Ene_Efectivo[Extras])</f>
        <v>27000</v>
      </c>
      <c r="I6">
        <f>SUBTOTAL(103,Ene_Efectivo[Comentarios])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CC5BF-76FA-4222-8172-CF9C477A075A}">
  <dimension ref="A1:F53"/>
  <sheetViews>
    <sheetView topLeftCell="A25" workbookViewId="0"/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215</v>
      </c>
      <c r="F1" t="s">
        <v>216</v>
      </c>
    </row>
    <row r="2" spans="1:6" x14ac:dyDescent="0.25">
      <c r="A2">
        <v>35</v>
      </c>
      <c r="B2" s="143">
        <v>44596</v>
      </c>
      <c r="C2" t="s">
        <v>278</v>
      </c>
      <c r="D2" t="s">
        <v>279</v>
      </c>
      <c r="E2" s="144">
        <v>3278</v>
      </c>
      <c r="F2">
        <v>0</v>
      </c>
    </row>
    <row r="3" spans="1:6" x14ac:dyDescent="0.25">
      <c r="A3">
        <v>36</v>
      </c>
      <c r="B3" s="143">
        <v>44596</v>
      </c>
      <c r="C3" t="s">
        <v>278</v>
      </c>
      <c r="D3" t="s">
        <v>279</v>
      </c>
      <c r="E3" s="144">
        <v>189820.76</v>
      </c>
      <c r="F3">
        <v>0</v>
      </c>
    </row>
    <row r="4" spans="1:6" x14ac:dyDescent="0.25">
      <c r="A4">
        <v>39</v>
      </c>
      <c r="B4" s="143">
        <v>44594</v>
      </c>
      <c r="C4" t="s">
        <v>308</v>
      </c>
      <c r="D4" t="s">
        <v>309</v>
      </c>
      <c r="E4" s="144">
        <v>12000</v>
      </c>
      <c r="F4">
        <v>883396</v>
      </c>
    </row>
    <row r="5" spans="1:6" x14ac:dyDescent="0.25">
      <c r="A5">
        <v>0</v>
      </c>
      <c r="B5" s="143">
        <v>44617</v>
      </c>
      <c r="C5" t="s">
        <v>217</v>
      </c>
      <c r="D5" t="s">
        <v>300</v>
      </c>
      <c r="E5" s="144">
        <v>-1500</v>
      </c>
      <c r="F5">
        <v>284329</v>
      </c>
    </row>
    <row r="6" spans="1:6" x14ac:dyDescent="0.25">
      <c r="A6">
        <v>31</v>
      </c>
      <c r="B6" s="143">
        <v>44599</v>
      </c>
      <c r="C6" t="s">
        <v>217</v>
      </c>
      <c r="D6" t="s">
        <v>222</v>
      </c>
      <c r="E6" s="144">
        <v>-680</v>
      </c>
      <c r="F6">
        <v>56796</v>
      </c>
    </row>
    <row r="7" spans="1:6" x14ac:dyDescent="0.25">
      <c r="A7">
        <v>26</v>
      </c>
      <c r="B7" s="143">
        <v>44601</v>
      </c>
      <c r="C7" t="s">
        <v>217</v>
      </c>
      <c r="D7" t="s">
        <v>351</v>
      </c>
      <c r="E7" s="144">
        <v>-270</v>
      </c>
      <c r="F7">
        <v>166384</v>
      </c>
    </row>
    <row r="8" spans="1:6" x14ac:dyDescent="0.25">
      <c r="A8">
        <v>22</v>
      </c>
      <c r="B8" s="143">
        <v>44603</v>
      </c>
      <c r="C8" t="s">
        <v>217</v>
      </c>
      <c r="D8" t="s">
        <v>222</v>
      </c>
      <c r="E8" s="144">
        <v>-1130</v>
      </c>
      <c r="F8">
        <v>56916</v>
      </c>
    </row>
    <row r="9" spans="1:6" x14ac:dyDescent="0.25">
      <c r="A9">
        <v>21</v>
      </c>
      <c r="B9" s="143">
        <v>44603</v>
      </c>
      <c r="C9" t="s">
        <v>217</v>
      </c>
      <c r="D9" t="s">
        <v>226</v>
      </c>
      <c r="E9" s="144">
        <v>-2140</v>
      </c>
      <c r="F9">
        <v>882659</v>
      </c>
    </row>
    <row r="10" spans="1:6" x14ac:dyDescent="0.25">
      <c r="A10">
        <v>40</v>
      </c>
      <c r="B10" s="143">
        <v>44594</v>
      </c>
      <c r="C10" t="s">
        <v>217</v>
      </c>
      <c r="D10" t="s">
        <v>355</v>
      </c>
      <c r="E10" s="144">
        <v>-1004.4</v>
      </c>
      <c r="F10">
        <v>21232</v>
      </c>
    </row>
    <row r="11" spans="1:6" x14ac:dyDescent="0.25">
      <c r="A11">
        <v>18</v>
      </c>
      <c r="B11" s="143">
        <v>44607</v>
      </c>
      <c r="C11" t="s">
        <v>217</v>
      </c>
      <c r="D11" t="s">
        <v>303</v>
      </c>
      <c r="E11" s="144">
        <v>-460</v>
      </c>
      <c r="F11">
        <v>12786</v>
      </c>
    </row>
    <row r="12" spans="1:6" x14ac:dyDescent="0.25">
      <c r="A12">
        <v>17</v>
      </c>
      <c r="B12" s="143">
        <v>44607</v>
      </c>
      <c r="C12" t="s">
        <v>217</v>
      </c>
      <c r="D12" t="s">
        <v>225</v>
      </c>
      <c r="E12" s="144">
        <v>-970</v>
      </c>
      <c r="F12">
        <v>250478</v>
      </c>
    </row>
    <row r="13" spans="1:6" x14ac:dyDescent="0.25">
      <c r="A13">
        <v>41</v>
      </c>
      <c r="B13" s="143">
        <v>44594</v>
      </c>
      <c r="C13" t="s">
        <v>217</v>
      </c>
      <c r="D13" t="s">
        <v>240</v>
      </c>
      <c r="E13" s="144">
        <v>-180</v>
      </c>
      <c r="F13">
        <v>314933</v>
      </c>
    </row>
    <row r="14" spans="1:6" x14ac:dyDescent="0.25">
      <c r="A14">
        <v>14</v>
      </c>
      <c r="B14" s="143">
        <v>44608</v>
      </c>
      <c r="C14" t="s">
        <v>217</v>
      </c>
      <c r="D14" t="s">
        <v>347</v>
      </c>
      <c r="E14" s="144">
        <v>-902</v>
      </c>
      <c r="F14">
        <v>28189</v>
      </c>
    </row>
    <row r="15" spans="1:6" x14ac:dyDescent="0.25">
      <c r="A15">
        <v>30</v>
      </c>
      <c r="B15" s="143">
        <v>44599</v>
      </c>
      <c r="C15" t="s">
        <v>217</v>
      </c>
      <c r="D15" t="s">
        <v>254</v>
      </c>
      <c r="E15" s="144">
        <v>-600</v>
      </c>
      <c r="F15">
        <v>201716</v>
      </c>
    </row>
    <row r="16" spans="1:6" x14ac:dyDescent="0.25">
      <c r="A16">
        <v>12</v>
      </c>
      <c r="B16" s="143">
        <v>44608</v>
      </c>
      <c r="C16" t="s">
        <v>217</v>
      </c>
      <c r="D16" t="s">
        <v>346</v>
      </c>
      <c r="E16" s="144">
        <v>-550</v>
      </c>
      <c r="F16">
        <v>713263</v>
      </c>
    </row>
    <row r="17" spans="1:6" x14ac:dyDescent="0.25">
      <c r="A17">
        <v>1</v>
      </c>
      <c r="B17" s="143">
        <v>44617</v>
      </c>
      <c r="C17" t="s">
        <v>217</v>
      </c>
      <c r="D17" t="s">
        <v>225</v>
      </c>
      <c r="E17" s="144">
        <v>-1078</v>
      </c>
      <c r="F17">
        <v>470226</v>
      </c>
    </row>
    <row r="18" spans="1:6" x14ac:dyDescent="0.25">
      <c r="A18">
        <v>48</v>
      </c>
      <c r="B18" s="143">
        <v>44593</v>
      </c>
      <c r="C18" t="s">
        <v>217</v>
      </c>
      <c r="D18" t="s">
        <v>356</v>
      </c>
      <c r="E18" s="144">
        <v>-3000</v>
      </c>
      <c r="F18">
        <v>792674</v>
      </c>
    </row>
    <row r="19" spans="1:6" x14ac:dyDescent="0.25">
      <c r="A19">
        <v>47</v>
      </c>
      <c r="B19" s="143">
        <v>44593</v>
      </c>
      <c r="C19" t="s">
        <v>217</v>
      </c>
      <c r="D19" t="s">
        <v>225</v>
      </c>
      <c r="E19" s="144">
        <v>-800</v>
      </c>
      <c r="F19">
        <v>840636</v>
      </c>
    </row>
    <row r="20" spans="1:6" x14ac:dyDescent="0.25">
      <c r="A20">
        <v>46</v>
      </c>
      <c r="B20" s="143">
        <v>44593</v>
      </c>
      <c r="C20" t="s">
        <v>217</v>
      </c>
      <c r="D20" t="s">
        <v>311</v>
      </c>
      <c r="E20" s="144">
        <v>-470</v>
      </c>
      <c r="F20">
        <v>857400</v>
      </c>
    </row>
    <row r="21" spans="1:6" x14ac:dyDescent="0.25">
      <c r="A21">
        <v>13</v>
      </c>
      <c r="B21" s="143">
        <v>44608</v>
      </c>
      <c r="C21" t="s">
        <v>217</v>
      </c>
      <c r="D21" t="s">
        <v>347</v>
      </c>
      <c r="E21" s="144">
        <v>-400</v>
      </c>
      <c r="F21">
        <v>28191</v>
      </c>
    </row>
    <row r="22" spans="1:6" x14ac:dyDescent="0.25">
      <c r="A22">
        <v>6</v>
      </c>
      <c r="B22" s="143">
        <v>44614</v>
      </c>
      <c r="C22" t="s">
        <v>217</v>
      </c>
      <c r="D22" t="s">
        <v>300</v>
      </c>
      <c r="E22" s="144">
        <v>-780</v>
      </c>
      <c r="F22">
        <v>773913</v>
      </c>
    </row>
    <row r="23" spans="1:6" x14ac:dyDescent="0.25">
      <c r="A23">
        <v>5</v>
      </c>
      <c r="B23" s="143">
        <v>44614</v>
      </c>
      <c r="C23" t="s">
        <v>217</v>
      </c>
      <c r="D23" t="s">
        <v>302</v>
      </c>
      <c r="E23" s="144">
        <v>-937.5</v>
      </c>
      <c r="F23">
        <v>22209</v>
      </c>
    </row>
    <row r="24" spans="1:6" x14ac:dyDescent="0.25">
      <c r="A24">
        <v>8</v>
      </c>
      <c r="B24" s="143">
        <v>44610</v>
      </c>
      <c r="C24" t="s">
        <v>217</v>
      </c>
      <c r="D24" t="s">
        <v>220</v>
      </c>
      <c r="E24" s="144">
        <v>-590</v>
      </c>
      <c r="F24">
        <v>844443</v>
      </c>
    </row>
    <row r="25" spans="1:6" x14ac:dyDescent="0.25">
      <c r="A25">
        <v>9</v>
      </c>
      <c r="B25" s="143">
        <v>44610</v>
      </c>
      <c r="C25" t="s">
        <v>217</v>
      </c>
      <c r="D25" t="s">
        <v>222</v>
      </c>
      <c r="E25" s="144">
        <v>-570</v>
      </c>
      <c r="F25">
        <v>56977</v>
      </c>
    </row>
    <row r="26" spans="1:6" x14ac:dyDescent="0.25">
      <c r="A26">
        <v>7</v>
      </c>
      <c r="B26" s="143">
        <v>44610</v>
      </c>
      <c r="C26" t="s">
        <v>217</v>
      </c>
      <c r="D26" t="s">
        <v>343</v>
      </c>
      <c r="E26" s="144">
        <v>-850</v>
      </c>
      <c r="F26">
        <v>761673</v>
      </c>
    </row>
    <row r="27" spans="1:6" x14ac:dyDescent="0.25">
      <c r="A27">
        <v>29</v>
      </c>
      <c r="B27" s="143">
        <v>44600</v>
      </c>
      <c r="C27" t="s">
        <v>306</v>
      </c>
      <c r="E27" s="144">
        <v>275767.53000000003</v>
      </c>
      <c r="F27">
        <v>970629</v>
      </c>
    </row>
    <row r="28" spans="1:6" x14ac:dyDescent="0.25">
      <c r="A28">
        <v>38</v>
      </c>
      <c r="B28" s="143">
        <v>44595</v>
      </c>
      <c r="C28" t="s">
        <v>307</v>
      </c>
      <c r="D28" t="s">
        <v>354</v>
      </c>
      <c r="E28" s="144">
        <v>-7899.55</v>
      </c>
      <c r="F28">
        <v>463276</v>
      </c>
    </row>
    <row r="29" spans="1:6" x14ac:dyDescent="0.25">
      <c r="A29">
        <v>28</v>
      </c>
      <c r="B29" s="143">
        <v>44600</v>
      </c>
      <c r="C29" t="s">
        <v>260</v>
      </c>
      <c r="D29" t="s">
        <v>261</v>
      </c>
      <c r="E29" s="144">
        <v>-63777.79</v>
      </c>
      <c r="F29">
        <v>220207</v>
      </c>
    </row>
    <row r="30" spans="1:6" x14ac:dyDescent="0.25">
      <c r="A30">
        <v>43</v>
      </c>
      <c r="B30" s="143">
        <v>44594</v>
      </c>
      <c r="C30" t="s">
        <v>265</v>
      </c>
      <c r="E30" s="144">
        <v>-11050</v>
      </c>
      <c r="F30">
        <v>343927</v>
      </c>
    </row>
    <row r="31" spans="1:6" x14ac:dyDescent="0.25">
      <c r="A31">
        <v>11</v>
      </c>
      <c r="B31" s="143">
        <v>44609</v>
      </c>
      <c r="C31" t="s">
        <v>345</v>
      </c>
      <c r="E31" s="144">
        <v>-80000</v>
      </c>
      <c r="F31">
        <v>34</v>
      </c>
    </row>
    <row r="32" spans="1:6" x14ac:dyDescent="0.25">
      <c r="A32">
        <v>44</v>
      </c>
      <c r="B32" s="143">
        <v>44594</v>
      </c>
      <c r="C32" t="s">
        <v>266</v>
      </c>
      <c r="E32" s="144">
        <v>-3315</v>
      </c>
      <c r="F32">
        <v>343927</v>
      </c>
    </row>
    <row r="33" spans="1:6" x14ac:dyDescent="0.25">
      <c r="A33">
        <v>51</v>
      </c>
      <c r="B33" s="143">
        <v>44593</v>
      </c>
      <c r="C33" t="s">
        <v>224</v>
      </c>
      <c r="E33" s="144">
        <v>-1.55</v>
      </c>
      <c r="F33">
        <v>0</v>
      </c>
    </row>
    <row r="34" spans="1:6" x14ac:dyDescent="0.25">
      <c r="A34">
        <v>4</v>
      </c>
      <c r="B34" s="143">
        <v>44617</v>
      </c>
      <c r="C34" t="s">
        <v>224</v>
      </c>
      <c r="E34" s="144">
        <v>-300.77</v>
      </c>
      <c r="F34">
        <v>0</v>
      </c>
    </row>
    <row r="35" spans="1:6" x14ac:dyDescent="0.25">
      <c r="A35">
        <v>50</v>
      </c>
      <c r="B35" s="143">
        <v>44593</v>
      </c>
      <c r="C35" t="s">
        <v>286</v>
      </c>
      <c r="E35" s="144">
        <v>6.39</v>
      </c>
      <c r="F35">
        <v>0</v>
      </c>
    </row>
    <row r="36" spans="1:6" x14ac:dyDescent="0.25">
      <c r="A36">
        <v>49</v>
      </c>
      <c r="B36" s="143">
        <v>44593</v>
      </c>
      <c r="C36" t="s">
        <v>282</v>
      </c>
      <c r="E36" s="144">
        <v>-7.38</v>
      </c>
      <c r="F36">
        <v>0</v>
      </c>
    </row>
    <row r="37" spans="1:6" x14ac:dyDescent="0.25">
      <c r="A37">
        <v>3</v>
      </c>
      <c r="B37" s="143">
        <v>44617</v>
      </c>
      <c r="C37" t="s">
        <v>223</v>
      </c>
      <c r="E37" s="144">
        <v>-1432.22</v>
      </c>
      <c r="F37">
        <v>0</v>
      </c>
    </row>
    <row r="38" spans="1:6" x14ac:dyDescent="0.25">
      <c r="A38">
        <v>25</v>
      </c>
      <c r="B38" s="143">
        <v>44602</v>
      </c>
      <c r="C38" t="s">
        <v>232</v>
      </c>
      <c r="D38" t="s">
        <v>305</v>
      </c>
      <c r="E38" s="144">
        <v>-7089.07</v>
      </c>
      <c r="F38">
        <v>95458</v>
      </c>
    </row>
    <row r="39" spans="1:6" x14ac:dyDescent="0.25">
      <c r="A39">
        <v>33</v>
      </c>
      <c r="B39" s="143">
        <v>44599</v>
      </c>
      <c r="C39" t="s">
        <v>232</v>
      </c>
      <c r="D39" t="s">
        <v>305</v>
      </c>
      <c r="E39" s="144">
        <v>-5182.53</v>
      </c>
      <c r="F39">
        <v>737146</v>
      </c>
    </row>
    <row r="40" spans="1:6" x14ac:dyDescent="0.25">
      <c r="A40">
        <v>45</v>
      </c>
      <c r="B40" s="143">
        <v>44594</v>
      </c>
      <c r="C40" t="s">
        <v>267</v>
      </c>
      <c r="E40" s="144">
        <v>-3867.5</v>
      </c>
      <c r="F40">
        <v>343927</v>
      </c>
    </row>
    <row r="41" spans="1:6" x14ac:dyDescent="0.25">
      <c r="A41">
        <v>34</v>
      </c>
      <c r="B41" s="143">
        <v>44596</v>
      </c>
      <c r="C41" t="s">
        <v>274</v>
      </c>
      <c r="D41" t="s">
        <v>275</v>
      </c>
      <c r="E41" s="144">
        <v>-34645.199999999997</v>
      </c>
      <c r="F41">
        <v>574383</v>
      </c>
    </row>
    <row r="42" spans="1:6" x14ac:dyDescent="0.25">
      <c r="A42">
        <v>20</v>
      </c>
      <c r="B42" s="143">
        <v>44606</v>
      </c>
      <c r="C42" t="s">
        <v>304</v>
      </c>
      <c r="D42" t="s">
        <v>301</v>
      </c>
      <c r="E42" s="144">
        <v>50000</v>
      </c>
      <c r="F42">
        <v>924367</v>
      </c>
    </row>
    <row r="43" spans="1:6" x14ac:dyDescent="0.25">
      <c r="A43">
        <v>42</v>
      </c>
      <c r="B43" s="143">
        <v>44594</v>
      </c>
      <c r="C43" t="s">
        <v>304</v>
      </c>
      <c r="D43" t="s">
        <v>310</v>
      </c>
      <c r="E43" s="144">
        <v>18200</v>
      </c>
      <c r="F43">
        <v>268469</v>
      </c>
    </row>
    <row r="44" spans="1:6" x14ac:dyDescent="0.25">
      <c r="A44">
        <v>2</v>
      </c>
      <c r="B44" s="143">
        <v>44617</v>
      </c>
      <c r="C44" t="s">
        <v>228</v>
      </c>
      <c r="D44" t="s">
        <v>301</v>
      </c>
      <c r="E44" s="144">
        <v>-50000</v>
      </c>
      <c r="F44">
        <v>473376</v>
      </c>
    </row>
    <row r="45" spans="1:6" x14ac:dyDescent="0.25">
      <c r="A45">
        <v>10</v>
      </c>
      <c r="B45" s="143">
        <v>44609</v>
      </c>
      <c r="C45" t="s">
        <v>228</v>
      </c>
      <c r="D45" t="s">
        <v>344</v>
      </c>
      <c r="E45" s="144">
        <v>-106000</v>
      </c>
      <c r="F45">
        <v>88800</v>
      </c>
    </row>
    <row r="46" spans="1:6" x14ac:dyDescent="0.25">
      <c r="A46">
        <v>32</v>
      </c>
      <c r="B46" s="143">
        <v>44599</v>
      </c>
      <c r="C46" t="s">
        <v>228</v>
      </c>
      <c r="D46" t="s">
        <v>353</v>
      </c>
      <c r="E46" s="144">
        <v>-2000</v>
      </c>
      <c r="F46">
        <v>447635</v>
      </c>
    </row>
    <row r="47" spans="1:6" x14ac:dyDescent="0.25">
      <c r="A47">
        <v>27</v>
      </c>
      <c r="B47" s="143">
        <v>44600</v>
      </c>
      <c r="C47" t="s">
        <v>228</v>
      </c>
      <c r="D47" t="s">
        <v>352</v>
      </c>
      <c r="E47" s="144">
        <v>-4500</v>
      </c>
      <c r="F47">
        <v>494840</v>
      </c>
    </row>
    <row r="48" spans="1:6" x14ac:dyDescent="0.25">
      <c r="A48">
        <v>19</v>
      </c>
      <c r="B48" s="143">
        <v>44607</v>
      </c>
      <c r="C48" t="s">
        <v>228</v>
      </c>
      <c r="D48" t="s">
        <v>348</v>
      </c>
      <c r="E48" s="144">
        <v>-900</v>
      </c>
      <c r="F48">
        <v>987566</v>
      </c>
    </row>
    <row r="49" spans="1:6" x14ac:dyDescent="0.25">
      <c r="A49">
        <v>23</v>
      </c>
      <c r="B49" s="143">
        <v>44602</v>
      </c>
      <c r="C49" t="s">
        <v>228</v>
      </c>
      <c r="D49" t="s">
        <v>349</v>
      </c>
      <c r="E49" s="144">
        <v>-1320</v>
      </c>
      <c r="F49">
        <v>671525</v>
      </c>
    </row>
    <row r="50" spans="1:6" x14ac:dyDescent="0.25">
      <c r="A50">
        <v>37</v>
      </c>
      <c r="B50" s="143">
        <v>44596</v>
      </c>
      <c r="C50" t="s">
        <v>228</v>
      </c>
      <c r="D50" t="s">
        <v>349</v>
      </c>
      <c r="E50" s="144">
        <v>-5380</v>
      </c>
      <c r="F50">
        <v>321651</v>
      </c>
    </row>
    <row r="51" spans="1:6" x14ac:dyDescent="0.25">
      <c r="A51">
        <v>24</v>
      </c>
      <c r="B51" s="143">
        <v>44602</v>
      </c>
      <c r="C51" t="s">
        <v>228</v>
      </c>
      <c r="D51" t="s">
        <v>350</v>
      </c>
      <c r="E51" s="144">
        <v>-2224</v>
      </c>
      <c r="F51">
        <v>724839</v>
      </c>
    </row>
    <row r="52" spans="1:6" x14ac:dyDescent="0.25">
      <c r="A52">
        <v>15</v>
      </c>
      <c r="B52" s="143">
        <v>44608</v>
      </c>
      <c r="C52" t="s">
        <v>228</v>
      </c>
      <c r="D52" t="s">
        <v>229</v>
      </c>
      <c r="E52" s="144">
        <v>-2500</v>
      </c>
      <c r="F52">
        <v>891585</v>
      </c>
    </row>
    <row r="53" spans="1:6" x14ac:dyDescent="0.25">
      <c r="A53">
        <v>16</v>
      </c>
      <c r="B53" s="143">
        <v>44608</v>
      </c>
      <c r="C53" t="s">
        <v>228</v>
      </c>
      <c r="D53" t="s">
        <v>245</v>
      </c>
      <c r="E53" s="144">
        <v>-5000</v>
      </c>
      <c r="F53">
        <v>891459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27B34-63AF-4F66-8EA3-4A5BA1FABF3A}">
  <dimension ref="A1:J53"/>
  <sheetViews>
    <sheetView topLeftCell="A35" zoomScale="90" zoomScaleNormal="90" workbookViewId="0">
      <selection activeCell="I54" sqref="I54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8" width="12.625" style="144" customWidth="1"/>
    <col min="9" max="9" width="14.625" style="144" customWidth="1"/>
    <col min="10" max="10" width="30.625" customWidth="1"/>
  </cols>
  <sheetData>
    <row r="1" spans="1:10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288</v>
      </c>
      <c r="F1" s="144" t="s">
        <v>289</v>
      </c>
      <c r="G1" s="144" t="s">
        <v>290</v>
      </c>
      <c r="H1" s="144" t="s">
        <v>291</v>
      </c>
      <c r="I1" s="144" t="s">
        <v>292</v>
      </c>
      <c r="J1" t="s">
        <v>293</v>
      </c>
    </row>
    <row r="2" spans="1:10" x14ac:dyDescent="0.25">
      <c r="A2">
        <v>51</v>
      </c>
      <c r="B2" s="143">
        <v>44593</v>
      </c>
      <c r="C2" t="s">
        <v>224</v>
      </c>
      <c r="E2" s="144">
        <v>-1.55</v>
      </c>
    </row>
    <row r="3" spans="1:10" x14ac:dyDescent="0.25">
      <c r="A3">
        <v>49</v>
      </c>
      <c r="B3" s="143">
        <v>44593</v>
      </c>
      <c r="C3" t="s">
        <v>282</v>
      </c>
      <c r="E3" s="144">
        <v>-7.38</v>
      </c>
    </row>
    <row r="4" spans="1:10" x14ac:dyDescent="0.25">
      <c r="A4">
        <v>41</v>
      </c>
      <c r="B4" s="143">
        <v>44594</v>
      </c>
      <c r="C4" t="s">
        <v>217</v>
      </c>
      <c r="D4" t="s">
        <v>240</v>
      </c>
      <c r="E4" s="144">
        <v>-180</v>
      </c>
    </row>
    <row r="5" spans="1:10" x14ac:dyDescent="0.25">
      <c r="A5">
        <v>26</v>
      </c>
      <c r="B5" s="143">
        <v>44601</v>
      </c>
      <c r="C5" t="s">
        <v>217</v>
      </c>
      <c r="D5" t="s">
        <v>351</v>
      </c>
      <c r="E5" s="144">
        <v>-270</v>
      </c>
    </row>
    <row r="6" spans="1:10" x14ac:dyDescent="0.25">
      <c r="A6">
        <v>4</v>
      </c>
      <c r="B6" s="143">
        <v>44617</v>
      </c>
      <c r="C6" t="s">
        <v>224</v>
      </c>
      <c r="E6" s="144">
        <v>-300.77</v>
      </c>
    </row>
    <row r="7" spans="1:10" x14ac:dyDescent="0.25">
      <c r="A7">
        <v>13</v>
      </c>
      <c r="B7" s="143">
        <v>44608</v>
      </c>
      <c r="C7" t="s">
        <v>217</v>
      </c>
      <c r="D7" t="s">
        <v>347</v>
      </c>
      <c r="E7" s="144">
        <v>-400</v>
      </c>
    </row>
    <row r="8" spans="1:10" x14ac:dyDescent="0.25">
      <c r="A8">
        <v>18</v>
      </c>
      <c r="B8" s="143">
        <v>44607</v>
      </c>
      <c r="C8" t="s">
        <v>217</v>
      </c>
      <c r="D8" t="s">
        <v>303</v>
      </c>
      <c r="E8" s="144">
        <v>-460</v>
      </c>
    </row>
    <row r="9" spans="1:10" x14ac:dyDescent="0.25">
      <c r="A9">
        <v>46</v>
      </c>
      <c r="B9" s="143">
        <v>44593</v>
      </c>
      <c r="C9" t="s">
        <v>217</v>
      </c>
      <c r="D9" t="s">
        <v>311</v>
      </c>
      <c r="E9" s="144">
        <v>-470</v>
      </c>
    </row>
    <row r="10" spans="1:10" x14ac:dyDescent="0.25">
      <c r="A10">
        <v>12</v>
      </c>
      <c r="B10" s="143">
        <v>44608</v>
      </c>
      <c r="C10" t="s">
        <v>217</v>
      </c>
      <c r="D10" t="s">
        <v>346</v>
      </c>
      <c r="E10" s="144">
        <v>-550</v>
      </c>
    </row>
    <row r="11" spans="1:10" x14ac:dyDescent="0.25">
      <c r="A11">
        <v>9</v>
      </c>
      <c r="B11" s="143">
        <v>44610</v>
      </c>
      <c r="C11" t="s">
        <v>217</v>
      </c>
      <c r="D11" t="s">
        <v>222</v>
      </c>
      <c r="E11" s="144">
        <v>-570</v>
      </c>
    </row>
    <row r="12" spans="1:10" x14ac:dyDescent="0.25">
      <c r="A12">
        <v>8</v>
      </c>
      <c r="B12" s="143">
        <v>44610</v>
      </c>
      <c r="C12" t="s">
        <v>217</v>
      </c>
      <c r="D12" t="s">
        <v>220</v>
      </c>
      <c r="E12" s="144">
        <v>-590</v>
      </c>
    </row>
    <row r="13" spans="1:10" x14ac:dyDescent="0.25">
      <c r="A13">
        <v>30</v>
      </c>
      <c r="B13" s="143">
        <v>44599</v>
      </c>
      <c r="C13" t="s">
        <v>217</v>
      </c>
      <c r="D13" t="s">
        <v>254</v>
      </c>
      <c r="E13" s="144">
        <v>-600</v>
      </c>
    </row>
    <row r="14" spans="1:10" x14ac:dyDescent="0.25">
      <c r="A14">
        <v>31</v>
      </c>
      <c r="B14" s="143">
        <v>44599</v>
      </c>
      <c r="C14" t="s">
        <v>217</v>
      </c>
      <c r="D14" t="s">
        <v>222</v>
      </c>
      <c r="E14" s="144">
        <v>-680</v>
      </c>
    </row>
    <row r="15" spans="1:10" x14ac:dyDescent="0.25">
      <c r="A15">
        <v>6</v>
      </c>
      <c r="B15" s="143">
        <v>44614</v>
      </c>
      <c r="C15" t="s">
        <v>217</v>
      </c>
      <c r="D15" t="s">
        <v>300</v>
      </c>
      <c r="E15" s="144">
        <v>-780</v>
      </c>
    </row>
    <row r="16" spans="1:10" x14ac:dyDescent="0.25">
      <c r="A16">
        <v>47</v>
      </c>
      <c r="B16" s="143">
        <v>44593</v>
      </c>
      <c r="C16" t="s">
        <v>217</v>
      </c>
      <c r="D16" t="s">
        <v>225</v>
      </c>
      <c r="E16" s="144">
        <v>-800</v>
      </c>
    </row>
    <row r="17" spans="1:5" x14ac:dyDescent="0.25">
      <c r="A17">
        <v>7</v>
      </c>
      <c r="B17" s="143">
        <v>44610</v>
      </c>
      <c r="C17" t="s">
        <v>217</v>
      </c>
      <c r="D17" t="s">
        <v>343</v>
      </c>
      <c r="E17" s="144">
        <v>-850</v>
      </c>
    </row>
    <row r="18" spans="1:5" x14ac:dyDescent="0.25">
      <c r="A18">
        <v>19</v>
      </c>
      <c r="B18" s="143">
        <v>44607</v>
      </c>
      <c r="C18" t="s">
        <v>228</v>
      </c>
      <c r="D18" t="s">
        <v>348</v>
      </c>
      <c r="E18" s="144">
        <v>-900</v>
      </c>
    </row>
    <row r="19" spans="1:5" x14ac:dyDescent="0.25">
      <c r="A19">
        <v>14</v>
      </c>
      <c r="B19" s="143">
        <v>44608</v>
      </c>
      <c r="C19" t="s">
        <v>217</v>
      </c>
      <c r="D19" t="s">
        <v>347</v>
      </c>
      <c r="E19" s="144">
        <v>-902</v>
      </c>
    </row>
    <row r="20" spans="1:5" x14ac:dyDescent="0.25">
      <c r="A20">
        <v>5</v>
      </c>
      <c r="B20" s="143">
        <v>44614</v>
      </c>
      <c r="C20" t="s">
        <v>217</v>
      </c>
      <c r="D20" t="s">
        <v>302</v>
      </c>
      <c r="E20" s="144">
        <v>-937.5</v>
      </c>
    </row>
    <row r="21" spans="1:5" x14ac:dyDescent="0.25">
      <c r="A21">
        <v>17</v>
      </c>
      <c r="B21" s="143">
        <v>44607</v>
      </c>
      <c r="C21" t="s">
        <v>217</v>
      </c>
      <c r="D21" t="s">
        <v>225</v>
      </c>
      <c r="E21" s="144">
        <v>-970</v>
      </c>
    </row>
    <row r="22" spans="1:5" x14ac:dyDescent="0.25">
      <c r="A22">
        <v>40</v>
      </c>
      <c r="B22" s="143">
        <v>44594</v>
      </c>
      <c r="C22" t="s">
        <v>217</v>
      </c>
      <c r="D22" t="s">
        <v>355</v>
      </c>
      <c r="E22" s="144">
        <v>-1004.4</v>
      </c>
    </row>
    <row r="23" spans="1:5" x14ac:dyDescent="0.25">
      <c r="A23">
        <v>1</v>
      </c>
      <c r="B23" s="143">
        <v>44617</v>
      </c>
      <c r="C23" t="s">
        <v>217</v>
      </c>
      <c r="D23" t="s">
        <v>225</v>
      </c>
      <c r="E23" s="144">
        <v>-1078</v>
      </c>
    </row>
    <row r="24" spans="1:5" x14ac:dyDescent="0.25">
      <c r="A24">
        <v>22</v>
      </c>
      <c r="B24" s="143">
        <v>44603</v>
      </c>
      <c r="C24" t="s">
        <v>217</v>
      </c>
      <c r="D24" t="s">
        <v>222</v>
      </c>
      <c r="E24" s="144">
        <v>-1130</v>
      </c>
    </row>
    <row r="25" spans="1:5" x14ac:dyDescent="0.25">
      <c r="A25">
        <v>23</v>
      </c>
      <c r="B25" s="143">
        <v>44602</v>
      </c>
      <c r="C25" t="s">
        <v>228</v>
      </c>
      <c r="D25" t="s">
        <v>349</v>
      </c>
      <c r="E25" s="144">
        <v>-1320</v>
      </c>
    </row>
    <row r="26" spans="1:5" x14ac:dyDescent="0.25">
      <c r="A26">
        <v>3</v>
      </c>
      <c r="B26" s="143">
        <v>44617</v>
      </c>
      <c r="C26" t="s">
        <v>223</v>
      </c>
      <c r="E26" s="144">
        <v>-1432.22</v>
      </c>
    </row>
    <row r="27" spans="1:5" x14ac:dyDescent="0.25">
      <c r="A27">
        <v>0</v>
      </c>
      <c r="B27" s="143">
        <v>44617</v>
      </c>
      <c r="C27" t="s">
        <v>217</v>
      </c>
      <c r="D27" t="s">
        <v>300</v>
      </c>
      <c r="E27" s="144">
        <v>-1500</v>
      </c>
    </row>
    <row r="28" spans="1:5" x14ac:dyDescent="0.25">
      <c r="A28">
        <v>32</v>
      </c>
      <c r="B28" s="143">
        <v>44599</v>
      </c>
      <c r="C28" t="s">
        <v>228</v>
      </c>
      <c r="D28" t="s">
        <v>353</v>
      </c>
      <c r="E28" s="144">
        <v>-2000</v>
      </c>
    </row>
    <row r="29" spans="1:5" x14ac:dyDescent="0.25">
      <c r="A29">
        <v>21</v>
      </c>
      <c r="B29" s="143">
        <v>44603</v>
      </c>
      <c r="C29" t="s">
        <v>217</v>
      </c>
      <c r="D29" t="s">
        <v>226</v>
      </c>
      <c r="E29" s="144">
        <v>-2140</v>
      </c>
    </row>
    <row r="30" spans="1:5" x14ac:dyDescent="0.25">
      <c r="A30">
        <v>24</v>
      </c>
      <c r="B30" s="143">
        <v>44602</v>
      </c>
      <c r="C30" t="s">
        <v>228</v>
      </c>
      <c r="D30" t="s">
        <v>350</v>
      </c>
      <c r="E30" s="144">
        <v>-2224</v>
      </c>
    </row>
    <row r="31" spans="1:5" x14ac:dyDescent="0.25">
      <c r="A31">
        <v>15</v>
      </c>
      <c r="B31" s="143">
        <v>44608</v>
      </c>
      <c r="C31" t="s">
        <v>228</v>
      </c>
      <c r="D31" t="s">
        <v>229</v>
      </c>
      <c r="E31" s="144">
        <v>-2500</v>
      </c>
    </row>
    <row r="32" spans="1:5" x14ac:dyDescent="0.25">
      <c r="A32">
        <v>48</v>
      </c>
      <c r="B32" s="143">
        <v>44593</v>
      </c>
      <c r="C32" t="s">
        <v>217</v>
      </c>
      <c r="D32" t="s">
        <v>356</v>
      </c>
      <c r="E32" s="144">
        <v>-3000</v>
      </c>
    </row>
    <row r="33" spans="1:9" x14ac:dyDescent="0.25">
      <c r="A33">
        <v>27</v>
      </c>
      <c r="B33" s="143">
        <v>44600</v>
      </c>
      <c r="C33" t="s">
        <v>228</v>
      </c>
      <c r="D33" t="s">
        <v>352</v>
      </c>
      <c r="E33" s="144">
        <v>-4500</v>
      </c>
    </row>
    <row r="34" spans="1:9" x14ac:dyDescent="0.25">
      <c r="A34">
        <v>16</v>
      </c>
      <c r="B34" s="143">
        <v>44608</v>
      </c>
      <c r="C34" t="s">
        <v>228</v>
      </c>
      <c r="D34" t="s">
        <v>245</v>
      </c>
      <c r="E34" s="144">
        <v>-5000</v>
      </c>
    </row>
    <row r="35" spans="1:9" x14ac:dyDescent="0.25">
      <c r="A35">
        <v>33</v>
      </c>
      <c r="B35" s="143">
        <v>44599</v>
      </c>
      <c r="C35" t="s">
        <v>232</v>
      </c>
      <c r="D35" t="s">
        <v>305</v>
      </c>
      <c r="E35" s="144">
        <v>-5182.53</v>
      </c>
    </row>
    <row r="36" spans="1:9" x14ac:dyDescent="0.25">
      <c r="A36">
        <v>37</v>
      </c>
      <c r="B36" s="143">
        <v>44596</v>
      </c>
      <c r="C36" t="s">
        <v>228</v>
      </c>
      <c r="D36" t="s">
        <v>349</v>
      </c>
      <c r="E36" s="144">
        <v>-5380</v>
      </c>
    </row>
    <row r="37" spans="1:9" x14ac:dyDescent="0.25">
      <c r="A37">
        <v>25</v>
      </c>
      <c r="B37" s="143">
        <v>44602</v>
      </c>
      <c r="C37" t="s">
        <v>232</v>
      </c>
      <c r="D37" t="s">
        <v>305</v>
      </c>
      <c r="E37" s="144">
        <v>-7089.07</v>
      </c>
    </row>
    <row r="38" spans="1:9" x14ac:dyDescent="0.25">
      <c r="A38">
        <v>38</v>
      </c>
      <c r="B38" s="143">
        <v>44595</v>
      </c>
      <c r="C38" t="s">
        <v>307</v>
      </c>
      <c r="D38" t="s">
        <v>354</v>
      </c>
      <c r="E38" s="144">
        <v>-7899.55</v>
      </c>
    </row>
    <row r="39" spans="1:9" x14ac:dyDescent="0.25">
      <c r="A39">
        <v>2</v>
      </c>
      <c r="B39" s="143">
        <v>44617</v>
      </c>
      <c r="C39" t="s">
        <v>228</v>
      </c>
      <c r="D39" t="s">
        <v>301</v>
      </c>
      <c r="E39" s="144">
        <v>-50000</v>
      </c>
    </row>
    <row r="40" spans="1:9" x14ac:dyDescent="0.25">
      <c r="A40">
        <v>10</v>
      </c>
      <c r="B40" s="143">
        <v>44609</v>
      </c>
      <c r="C40" t="s">
        <v>228</v>
      </c>
      <c r="D40" t="s">
        <v>344</v>
      </c>
      <c r="E40" s="144">
        <v>-106000</v>
      </c>
    </row>
    <row r="41" spans="1:9" x14ac:dyDescent="0.25">
      <c r="A41">
        <v>34</v>
      </c>
      <c r="B41" s="143">
        <v>44596</v>
      </c>
      <c r="C41" t="s">
        <v>274</v>
      </c>
      <c r="D41" t="s">
        <v>275</v>
      </c>
      <c r="F41" s="144">
        <v>-34645.199999999997</v>
      </c>
    </row>
    <row r="42" spans="1:9" x14ac:dyDescent="0.25">
      <c r="A42">
        <v>28</v>
      </c>
      <c r="B42" s="143">
        <v>44600</v>
      </c>
      <c r="C42" t="s">
        <v>260</v>
      </c>
      <c r="D42" t="s">
        <v>261</v>
      </c>
      <c r="F42" s="144">
        <v>-63777.79</v>
      </c>
      <c r="G42" s="155"/>
    </row>
    <row r="43" spans="1:9" x14ac:dyDescent="0.25">
      <c r="A43">
        <v>44</v>
      </c>
      <c r="B43" s="143">
        <v>44594</v>
      </c>
      <c r="C43" t="s">
        <v>266</v>
      </c>
      <c r="H43" s="144">
        <v>-3315</v>
      </c>
    </row>
    <row r="44" spans="1:9" x14ac:dyDescent="0.25">
      <c r="A44">
        <v>45</v>
      </c>
      <c r="B44" s="143">
        <v>44594</v>
      </c>
      <c r="C44" t="s">
        <v>267</v>
      </c>
      <c r="H44" s="144">
        <v>-3867.5</v>
      </c>
    </row>
    <row r="45" spans="1:9" x14ac:dyDescent="0.25">
      <c r="A45">
        <v>43</v>
      </c>
      <c r="B45" s="143">
        <v>44594</v>
      </c>
      <c r="C45" t="s">
        <v>265</v>
      </c>
      <c r="H45" s="144">
        <v>-11050</v>
      </c>
    </row>
    <row r="46" spans="1:9" x14ac:dyDescent="0.25">
      <c r="A46">
        <v>11</v>
      </c>
      <c r="B46" s="143">
        <v>44609</v>
      </c>
      <c r="C46" t="s">
        <v>345</v>
      </c>
      <c r="I46" s="144">
        <v>-80000</v>
      </c>
    </row>
    <row r="47" spans="1:9" x14ac:dyDescent="0.25">
      <c r="A47" s="153"/>
      <c r="B47" s="152">
        <v>44600</v>
      </c>
      <c r="C47" s="153" t="s">
        <v>365</v>
      </c>
      <c r="D47" s="153"/>
      <c r="E47" s="145"/>
      <c r="F47" s="145"/>
      <c r="G47" s="145">
        <v>-4555</v>
      </c>
    </row>
    <row r="48" spans="1:9" x14ac:dyDescent="0.25">
      <c r="A48" s="153"/>
      <c r="B48" s="152">
        <v>44600</v>
      </c>
      <c r="C48" s="153" t="s">
        <v>363</v>
      </c>
      <c r="D48" s="153"/>
      <c r="E48" s="145"/>
      <c r="F48" s="145">
        <v>4555</v>
      </c>
    </row>
    <row r="49" spans="2:10" x14ac:dyDescent="0.25">
      <c r="E49" s="144">
        <f>SUBTOTAL(109,Feb_Debitos[Gastos])</f>
        <v>-221598.97</v>
      </c>
      <c r="F49" s="144">
        <f>SUBTOTAL(109,Feb_Debitos[Tarjetas])</f>
        <v>-93867.989999999991</v>
      </c>
      <c r="G49" s="144">
        <f>SUBTOTAL(109,Feb_Debitos[Impuestos])</f>
        <v>-4555</v>
      </c>
      <c r="H49" s="144">
        <f>SUBTOTAL(109,Feb_Debitos[Inversiones])</f>
        <v>-18232.5</v>
      </c>
      <c r="I49" s="144">
        <f>SUBTOTAL(109,Feb_Debitos[Extracciones])</f>
        <v>-80000</v>
      </c>
      <c r="J49">
        <f>SUBTOTAL(103,Feb_Debitos[Comentarios])</f>
        <v>0</v>
      </c>
    </row>
    <row r="52" spans="2:10" x14ac:dyDescent="0.25">
      <c r="C52" t="s">
        <v>213</v>
      </c>
      <c r="D52" t="s">
        <v>214</v>
      </c>
      <c r="E52" s="144" t="s">
        <v>288</v>
      </c>
      <c r="F52" s="144" t="s">
        <v>289</v>
      </c>
      <c r="G52" s="144" t="s">
        <v>290</v>
      </c>
      <c r="H52" s="144" t="s">
        <v>291</v>
      </c>
      <c r="I52" s="144" t="s">
        <v>292</v>
      </c>
      <c r="J52" t="s">
        <v>293</v>
      </c>
    </row>
    <row r="53" spans="2:10" x14ac:dyDescent="0.25">
      <c r="B53" s="143">
        <v>44620</v>
      </c>
      <c r="C53" t="s">
        <v>362</v>
      </c>
      <c r="E53" s="144">
        <v>-221598.97</v>
      </c>
      <c r="F53" s="144">
        <v>-93867.989999999991</v>
      </c>
      <c r="G53" s="144">
        <v>-4555</v>
      </c>
      <c r="H53" s="144">
        <v>-18232.5</v>
      </c>
      <c r="I53" s="144">
        <v>-80000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358CD-89A8-4F13-96D7-F88BE70B17BE}">
  <dimension ref="A1:G14"/>
  <sheetViews>
    <sheetView workbookViewId="0">
      <selection activeCell="D16" sqref="D16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7" width="12.625" style="144" customWidth="1"/>
  </cols>
  <sheetData>
    <row r="1" spans="1:7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294</v>
      </c>
      <c r="F1" s="144" t="s">
        <v>295</v>
      </c>
      <c r="G1" s="144" t="s">
        <v>291</v>
      </c>
    </row>
    <row r="2" spans="1:7" x14ac:dyDescent="0.25">
      <c r="A2">
        <v>35</v>
      </c>
      <c r="B2" s="143">
        <v>44596</v>
      </c>
      <c r="C2" t="s">
        <v>278</v>
      </c>
      <c r="D2" t="s">
        <v>279</v>
      </c>
      <c r="E2" s="144">
        <v>3278</v>
      </c>
    </row>
    <row r="3" spans="1:7" x14ac:dyDescent="0.25">
      <c r="A3">
        <v>36</v>
      </c>
      <c r="B3" s="143">
        <v>44596</v>
      </c>
      <c r="C3" t="s">
        <v>278</v>
      </c>
      <c r="D3" t="s">
        <v>279</v>
      </c>
      <c r="E3" s="144">
        <v>189820.76</v>
      </c>
    </row>
    <row r="4" spans="1:7" x14ac:dyDescent="0.25">
      <c r="A4">
        <v>50</v>
      </c>
      <c r="B4" s="143">
        <v>44593</v>
      </c>
      <c r="C4" t="s">
        <v>286</v>
      </c>
      <c r="F4" s="144">
        <v>6.39</v>
      </c>
    </row>
    <row r="5" spans="1:7" x14ac:dyDescent="0.25">
      <c r="A5">
        <v>39</v>
      </c>
      <c r="B5" s="143">
        <v>44594</v>
      </c>
      <c r="C5" t="s">
        <v>308</v>
      </c>
      <c r="D5" t="s">
        <v>309</v>
      </c>
      <c r="F5" s="144">
        <v>12000</v>
      </c>
    </row>
    <row r="6" spans="1:7" x14ac:dyDescent="0.25">
      <c r="A6">
        <v>42</v>
      </c>
      <c r="B6" s="143">
        <v>44594</v>
      </c>
      <c r="C6" t="s">
        <v>304</v>
      </c>
      <c r="D6" t="s">
        <v>310</v>
      </c>
      <c r="F6" s="144">
        <v>18200</v>
      </c>
    </row>
    <row r="7" spans="1:7" x14ac:dyDescent="0.25">
      <c r="A7">
        <v>20</v>
      </c>
      <c r="B7" s="143">
        <v>44606</v>
      </c>
      <c r="C7" t="s">
        <v>304</v>
      </c>
      <c r="D7" t="s">
        <v>301</v>
      </c>
      <c r="F7" s="144">
        <v>50000</v>
      </c>
    </row>
    <row r="8" spans="1:7" x14ac:dyDescent="0.25">
      <c r="A8">
        <v>29</v>
      </c>
      <c r="B8" s="143">
        <v>44600</v>
      </c>
      <c r="C8" t="s">
        <v>306</v>
      </c>
      <c r="G8" s="144">
        <v>275767.53000000003</v>
      </c>
    </row>
    <row r="9" spans="1:7" x14ac:dyDescent="0.25">
      <c r="B9" s="152">
        <v>44600</v>
      </c>
      <c r="C9" s="153" t="s">
        <v>364</v>
      </c>
      <c r="D9" s="153"/>
      <c r="E9" s="145"/>
      <c r="F9" s="145"/>
      <c r="G9" s="145">
        <v>-250000</v>
      </c>
    </row>
    <row r="10" spans="1:7" x14ac:dyDescent="0.25">
      <c r="E10" s="144">
        <f>SUBTOTAL(109,Feb_Creditos[Haberes])</f>
        <v>193098.76</v>
      </c>
      <c r="F10" s="144">
        <f>SUBTOTAL(109,Feb_Creditos[Extras])</f>
        <v>80206.39</v>
      </c>
      <c r="G10" s="144">
        <f>SUBTOTAL(109,Feb_Creditos[Inversiones])</f>
        <v>25767.530000000028</v>
      </c>
    </row>
    <row r="13" spans="1:7" x14ac:dyDescent="0.25">
      <c r="C13" t="s">
        <v>213</v>
      </c>
      <c r="D13" t="s">
        <v>214</v>
      </c>
      <c r="E13" s="144" t="s">
        <v>294</v>
      </c>
      <c r="F13" s="144" t="s">
        <v>295</v>
      </c>
      <c r="G13" s="144" t="s">
        <v>291</v>
      </c>
    </row>
    <row r="14" spans="1:7" x14ac:dyDescent="0.25">
      <c r="B14" s="143">
        <v>44620</v>
      </c>
      <c r="C14" t="s">
        <v>362</v>
      </c>
      <c r="E14" s="144">
        <v>193098.76</v>
      </c>
      <c r="F14" s="144">
        <v>80206.39</v>
      </c>
      <c r="G14" s="144">
        <v>-18232.5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686AF-E03C-4636-BA5A-5E42B014B3EC}">
  <dimension ref="A1:I6"/>
  <sheetViews>
    <sheetView workbookViewId="0">
      <selection activeCell="B3" sqref="B3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213</v>
      </c>
      <c r="C1" t="s">
        <v>214</v>
      </c>
      <c r="D1" s="144" t="s">
        <v>288</v>
      </c>
      <c r="E1" s="144" t="s">
        <v>289</v>
      </c>
      <c r="F1" s="144" t="s">
        <v>290</v>
      </c>
      <c r="G1" s="144" t="s">
        <v>291</v>
      </c>
      <c r="H1" s="144" t="s">
        <v>295</v>
      </c>
      <c r="I1" t="s">
        <v>293</v>
      </c>
    </row>
    <row r="2" spans="1:9" x14ac:dyDescent="0.25">
      <c r="A2" s="143">
        <v>44593</v>
      </c>
      <c r="B2" t="s">
        <v>298</v>
      </c>
      <c r="D2" s="144">
        <v>-279487</v>
      </c>
      <c r="E2" s="144">
        <v>0</v>
      </c>
      <c r="F2" s="144">
        <v>0</v>
      </c>
      <c r="G2" s="144">
        <v>0</v>
      </c>
      <c r="H2" s="144">
        <v>0</v>
      </c>
    </row>
    <row r="5" spans="1:9" x14ac:dyDescent="0.25">
      <c r="B5" t="s">
        <v>213</v>
      </c>
      <c r="C5" t="s">
        <v>214</v>
      </c>
      <c r="D5" s="144" t="s">
        <v>288</v>
      </c>
      <c r="E5" s="144" t="s">
        <v>289</v>
      </c>
      <c r="F5" s="144" t="s">
        <v>290</v>
      </c>
      <c r="G5" s="144" t="s">
        <v>291</v>
      </c>
      <c r="H5" s="144" t="s">
        <v>295</v>
      </c>
      <c r="I5" t="s">
        <v>293</v>
      </c>
    </row>
    <row r="6" spans="1:9" x14ac:dyDescent="0.25">
      <c r="A6" s="143">
        <v>44620</v>
      </c>
      <c r="B6" t="s">
        <v>362</v>
      </c>
      <c r="D6" s="144">
        <v>-279487</v>
      </c>
      <c r="E6" s="144">
        <v>0</v>
      </c>
      <c r="F6" s="144">
        <v>0</v>
      </c>
      <c r="G6" s="144">
        <v>0</v>
      </c>
      <c r="H6" s="144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0440A-7D85-4AF3-8268-C247F4DB3648}">
  <dimension ref="A1:F44"/>
  <sheetViews>
    <sheetView topLeftCell="A4" workbookViewId="0">
      <selection activeCell="D43" sqref="D43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215</v>
      </c>
      <c r="F1" t="s">
        <v>216</v>
      </c>
    </row>
    <row r="2" spans="1:6" x14ac:dyDescent="0.25">
      <c r="A2">
        <v>0</v>
      </c>
      <c r="B2" s="143">
        <v>44651</v>
      </c>
      <c r="C2" t="s">
        <v>217</v>
      </c>
      <c r="D2" t="s">
        <v>303</v>
      </c>
      <c r="E2" s="144">
        <v>-1220</v>
      </c>
      <c r="F2">
        <v>32757</v>
      </c>
    </row>
    <row r="3" spans="1:6" x14ac:dyDescent="0.25">
      <c r="A3">
        <v>1</v>
      </c>
      <c r="B3" s="143">
        <v>44651</v>
      </c>
      <c r="C3" t="s">
        <v>223</v>
      </c>
      <c r="E3" s="144">
        <v>-1432.22</v>
      </c>
      <c r="F3">
        <v>0</v>
      </c>
    </row>
    <row r="4" spans="1:6" x14ac:dyDescent="0.25">
      <c r="A4">
        <v>2</v>
      </c>
      <c r="B4" s="143">
        <v>44651</v>
      </c>
      <c r="C4" t="s">
        <v>224</v>
      </c>
      <c r="E4" s="144">
        <v>-300.77</v>
      </c>
      <c r="F4">
        <v>0</v>
      </c>
    </row>
    <row r="5" spans="1:6" x14ac:dyDescent="0.25">
      <c r="A5">
        <v>3</v>
      </c>
      <c r="B5" s="143">
        <v>44649</v>
      </c>
      <c r="C5" t="s">
        <v>217</v>
      </c>
      <c r="D5" t="s">
        <v>312</v>
      </c>
      <c r="E5" s="144">
        <v>-420</v>
      </c>
      <c r="F5">
        <v>135810</v>
      </c>
    </row>
    <row r="6" spans="1:6" x14ac:dyDescent="0.25">
      <c r="A6">
        <v>4</v>
      </c>
      <c r="B6" s="143">
        <v>44649</v>
      </c>
      <c r="C6" t="s">
        <v>217</v>
      </c>
      <c r="D6" t="s">
        <v>303</v>
      </c>
      <c r="E6" s="144">
        <v>-330</v>
      </c>
      <c r="F6">
        <v>32714</v>
      </c>
    </row>
    <row r="7" spans="1:6" x14ac:dyDescent="0.25">
      <c r="A7">
        <v>5</v>
      </c>
      <c r="B7" s="143">
        <v>44648</v>
      </c>
      <c r="C7" t="s">
        <v>217</v>
      </c>
      <c r="D7" t="s">
        <v>313</v>
      </c>
      <c r="E7" s="144">
        <v>-970</v>
      </c>
      <c r="F7">
        <v>119435</v>
      </c>
    </row>
    <row r="8" spans="1:6" x14ac:dyDescent="0.25">
      <c r="A8">
        <v>6</v>
      </c>
      <c r="B8" s="143">
        <v>44648</v>
      </c>
      <c r="C8" t="s">
        <v>217</v>
      </c>
      <c r="D8" t="s">
        <v>254</v>
      </c>
      <c r="E8" s="144">
        <v>-660</v>
      </c>
      <c r="F8">
        <v>976826</v>
      </c>
    </row>
    <row r="9" spans="1:6" x14ac:dyDescent="0.25">
      <c r="A9">
        <v>7</v>
      </c>
      <c r="B9" s="143">
        <v>44648</v>
      </c>
      <c r="C9" t="s">
        <v>217</v>
      </c>
      <c r="D9" t="s">
        <v>222</v>
      </c>
      <c r="E9" s="144">
        <v>-810</v>
      </c>
      <c r="F9">
        <v>57257</v>
      </c>
    </row>
    <row r="10" spans="1:6" x14ac:dyDescent="0.25">
      <c r="A10">
        <v>8</v>
      </c>
      <c r="B10" s="143">
        <v>44645</v>
      </c>
      <c r="C10" t="s">
        <v>241</v>
      </c>
      <c r="D10" t="s">
        <v>314</v>
      </c>
      <c r="E10" s="144">
        <v>-10000</v>
      </c>
      <c r="F10">
        <v>3512</v>
      </c>
    </row>
    <row r="11" spans="1:6" x14ac:dyDescent="0.25">
      <c r="A11">
        <v>9</v>
      </c>
      <c r="B11" s="143">
        <v>44641</v>
      </c>
      <c r="C11" t="s">
        <v>217</v>
      </c>
      <c r="D11" t="s">
        <v>315</v>
      </c>
      <c r="E11" s="144">
        <v>-1880</v>
      </c>
      <c r="F11">
        <v>783699</v>
      </c>
    </row>
    <row r="12" spans="1:6" x14ac:dyDescent="0.25">
      <c r="A12">
        <v>10</v>
      </c>
      <c r="B12" s="143">
        <v>44641</v>
      </c>
      <c r="C12" t="s">
        <v>217</v>
      </c>
      <c r="D12" t="s">
        <v>238</v>
      </c>
      <c r="E12" s="144">
        <v>-1500</v>
      </c>
      <c r="F12">
        <v>17456</v>
      </c>
    </row>
    <row r="13" spans="1:6" x14ac:dyDescent="0.25">
      <c r="A13">
        <v>11</v>
      </c>
      <c r="B13" s="143">
        <v>44641</v>
      </c>
      <c r="C13" t="s">
        <v>278</v>
      </c>
      <c r="D13" t="s">
        <v>279</v>
      </c>
      <c r="E13" s="144">
        <v>20041.68</v>
      </c>
      <c r="F13">
        <v>0</v>
      </c>
    </row>
    <row r="14" spans="1:6" x14ac:dyDescent="0.25">
      <c r="A14">
        <v>12</v>
      </c>
      <c r="B14" s="143">
        <v>44641</v>
      </c>
      <c r="C14" t="s">
        <v>228</v>
      </c>
      <c r="D14" t="s">
        <v>245</v>
      </c>
      <c r="E14" s="144">
        <v>-3500</v>
      </c>
      <c r="F14">
        <v>960557</v>
      </c>
    </row>
    <row r="15" spans="1:6" x14ac:dyDescent="0.25">
      <c r="A15">
        <v>13</v>
      </c>
      <c r="B15" s="143">
        <v>44638</v>
      </c>
      <c r="C15" t="s">
        <v>217</v>
      </c>
      <c r="D15" t="s">
        <v>300</v>
      </c>
      <c r="E15" s="144">
        <v>-1200</v>
      </c>
      <c r="F15">
        <v>275563</v>
      </c>
    </row>
    <row r="16" spans="1:6" x14ac:dyDescent="0.25">
      <c r="A16">
        <v>14</v>
      </c>
      <c r="B16" s="143">
        <v>44636</v>
      </c>
      <c r="C16" t="s">
        <v>228</v>
      </c>
      <c r="D16" t="s">
        <v>316</v>
      </c>
      <c r="E16" s="144">
        <v>-1125</v>
      </c>
      <c r="F16">
        <v>524327</v>
      </c>
    </row>
    <row r="17" spans="1:6" x14ac:dyDescent="0.25">
      <c r="A17">
        <v>15</v>
      </c>
      <c r="B17" s="143">
        <v>44636</v>
      </c>
      <c r="C17" t="s">
        <v>228</v>
      </c>
      <c r="D17" t="s">
        <v>317</v>
      </c>
      <c r="E17" s="144">
        <v>-1000</v>
      </c>
      <c r="F17">
        <v>602020</v>
      </c>
    </row>
    <row r="18" spans="1:6" x14ac:dyDescent="0.25">
      <c r="A18">
        <v>16</v>
      </c>
      <c r="B18" s="143">
        <v>44636</v>
      </c>
      <c r="C18" t="s">
        <v>232</v>
      </c>
      <c r="D18" t="s">
        <v>305</v>
      </c>
      <c r="E18" s="144">
        <v>-3745.06</v>
      </c>
      <c r="F18">
        <v>625140</v>
      </c>
    </row>
    <row r="19" spans="1:6" x14ac:dyDescent="0.25">
      <c r="A19">
        <v>17</v>
      </c>
      <c r="B19" s="143">
        <v>44634</v>
      </c>
      <c r="C19" t="s">
        <v>217</v>
      </c>
      <c r="D19" t="s">
        <v>303</v>
      </c>
      <c r="E19" s="144">
        <v>-510</v>
      </c>
      <c r="F19">
        <v>32362</v>
      </c>
    </row>
    <row r="20" spans="1:6" x14ac:dyDescent="0.25">
      <c r="A20">
        <v>18</v>
      </c>
      <c r="B20" s="143">
        <v>44634</v>
      </c>
      <c r="C20" t="s">
        <v>228</v>
      </c>
      <c r="D20" t="s">
        <v>229</v>
      </c>
      <c r="E20" s="144">
        <v>-2500</v>
      </c>
      <c r="F20">
        <v>512345</v>
      </c>
    </row>
    <row r="21" spans="1:6" x14ac:dyDescent="0.25">
      <c r="A21">
        <v>19</v>
      </c>
      <c r="B21" s="143">
        <v>44631</v>
      </c>
      <c r="C21" t="s">
        <v>217</v>
      </c>
      <c r="D21" t="s">
        <v>318</v>
      </c>
      <c r="E21" s="144">
        <v>-1900</v>
      </c>
      <c r="F21">
        <v>270106</v>
      </c>
    </row>
    <row r="22" spans="1:6" x14ac:dyDescent="0.25">
      <c r="A22">
        <v>20</v>
      </c>
      <c r="B22" s="143">
        <v>44631</v>
      </c>
      <c r="C22" t="s">
        <v>217</v>
      </c>
      <c r="D22" t="s">
        <v>319</v>
      </c>
      <c r="E22" s="144">
        <v>-960</v>
      </c>
      <c r="F22">
        <v>991276</v>
      </c>
    </row>
    <row r="23" spans="1:6" x14ac:dyDescent="0.25">
      <c r="A23">
        <v>21</v>
      </c>
      <c r="B23" s="143">
        <v>44631</v>
      </c>
      <c r="C23" t="s">
        <v>320</v>
      </c>
      <c r="D23" t="s">
        <v>321</v>
      </c>
      <c r="E23" s="144">
        <v>105999.63</v>
      </c>
      <c r="F23">
        <v>5020454</v>
      </c>
    </row>
    <row r="24" spans="1:6" x14ac:dyDescent="0.25">
      <c r="A24">
        <v>22</v>
      </c>
      <c r="B24" s="143">
        <v>44631</v>
      </c>
      <c r="C24" t="s">
        <v>228</v>
      </c>
      <c r="D24" t="s">
        <v>322</v>
      </c>
      <c r="E24" s="144">
        <v>-100000</v>
      </c>
      <c r="F24">
        <v>339962</v>
      </c>
    </row>
    <row r="25" spans="1:6" x14ac:dyDescent="0.25">
      <c r="A25">
        <v>23</v>
      </c>
      <c r="B25" s="143">
        <v>44630</v>
      </c>
      <c r="C25" t="s">
        <v>217</v>
      </c>
      <c r="D25" t="s">
        <v>226</v>
      </c>
      <c r="E25" s="144">
        <v>-1105</v>
      </c>
      <c r="F25">
        <v>200055</v>
      </c>
    </row>
    <row r="26" spans="1:6" x14ac:dyDescent="0.25">
      <c r="A26">
        <v>24</v>
      </c>
      <c r="B26" s="143">
        <v>44629</v>
      </c>
      <c r="C26" t="s">
        <v>260</v>
      </c>
      <c r="D26" t="s">
        <v>261</v>
      </c>
      <c r="E26" s="144">
        <v>-90176.02</v>
      </c>
      <c r="F26">
        <v>220308</v>
      </c>
    </row>
    <row r="27" spans="1:6" x14ac:dyDescent="0.25">
      <c r="A27">
        <v>25</v>
      </c>
      <c r="B27" s="143">
        <v>44628</v>
      </c>
      <c r="C27" t="s">
        <v>228</v>
      </c>
      <c r="D27" t="s">
        <v>317</v>
      </c>
      <c r="E27" s="144">
        <v>-500</v>
      </c>
      <c r="F27">
        <v>19506</v>
      </c>
    </row>
    <row r="28" spans="1:6" x14ac:dyDescent="0.25">
      <c r="A28">
        <v>26</v>
      </c>
      <c r="B28" s="143">
        <v>44627</v>
      </c>
      <c r="C28" t="s">
        <v>274</v>
      </c>
      <c r="D28" t="s">
        <v>275</v>
      </c>
      <c r="E28" s="144">
        <v>-42285.7</v>
      </c>
      <c r="F28">
        <v>138993</v>
      </c>
    </row>
    <row r="29" spans="1:6" x14ac:dyDescent="0.25">
      <c r="A29">
        <v>27</v>
      </c>
      <c r="B29" s="143">
        <v>44627</v>
      </c>
      <c r="C29" t="s">
        <v>217</v>
      </c>
      <c r="D29" t="s">
        <v>302</v>
      </c>
      <c r="E29" s="144">
        <v>-863</v>
      </c>
      <c r="F29">
        <v>22680</v>
      </c>
    </row>
    <row r="30" spans="1:6" x14ac:dyDescent="0.25">
      <c r="A30">
        <v>28</v>
      </c>
      <c r="B30" s="143">
        <v>44627</v>
      </c>
      <c r="C30" t="s">
        <v>284</v>
      </c>
      <c r="D30" t="s">
        <v>285</v>
      </c>
      <c r="E30" s="144">
        <v>-5000</v>
      </c>
      <c r="F30">
        <v>5902</v>
      </c>
    </row>
    <row r="31" spans="1:6" x14ac:dyDescent="0.25">
      <c r="A31">
        <v>29</v>
      </c>
      <c r="B31" s="143">
        <v>44627</v>
      </c>
      <c r="C31" t="s">
        <v>307</v>
      </c>
      <c r="D31" t="s">
        <v>323</v>
      </c>
      <c r="E31" s="144">
        <v>-400</v>
      </c>
      <c r="F31">
        <v>548096</v>
      </c>
    </row>
    <row r="32" spans="1:6" x14ac:dyDescent="0.25">
      <c r="A32">
        <v>30</v>
      </c>
      <c r="B32" s="143">
        <v>44627</v>
      </c>
      <c r="C32" t="s">
        <v>278</v>
      </c>
      <c r="D32" t="s">
        <v>279</v>
      </c>
      <c r="E32" s="144">
        <v>177317.37</v>
      </c>
      <c r="F32">
        <v>0</v>
      </c>
    </row>
    <row r="33" spans="1:6" x14ac:dyDescent="0.25">
      <c r="A33">
        <v>31</v>
      </c>
      <c r="B33" s="143">
        <v>44627</v>
      </c>
      <c r="C33" t="s">
        <v>232</v>
      </c>
      <c r="D33" t="s">
        <v>305</v>
      </c>
      <c r="E33" s="144">
        <v>-35853.17</v>
      </c>
      <c r="F33">
        <v>498825</v>
      </c>
    </row>
    <row r="34" spans="1:6" x14ac:dyDescent="0.25">
      <c r="A34">
        <v>32</v>
      </c>
      <c r="B34" s="143">
        <v>44624</v>
      </c>
      <c r="C34" t="s">
        <v>217</v>
      </c>
      <c r="D34" t="s">
        <v>303</v>
      </c>
      <c r="E34" s="144">
        <v>-500</v>
      </c>
      <c r="F34">
        <v>13068</v>
      </c>
    </row>
    <row r="35" spans="1:6" x14ac:dyDescent="0.25">
      <c r="A35">
        <v>33</v>
      </c>
      <c r="B35" s="143">
        <v>44623</v>
      </c>
      <c r="C35" t="s">
        <v>217</v>
      </c>
      <c r="D35" t="s">
        <v>311</v>
      </c>
      <c r="E35" s="144">
        <v>-240</v>
      </c>
      <c r="F35">
        <v>550964</v>
      </c>
    </row>
    <row r="36" spans="1:6" x14ac:dyDescent="0.25">
      <c r="A36">
        <v>34</v>
      </c>
      <c r="B36" s="143">
        <v>44623</v>
      </c>
      <c r="C36" t="s">
        <v>263</v>
      </c>
      <c r="D36" t="s">
        <v>324</v>
      </c>
      <c r="E36" s="144">
        <v>18000</v>
      </c>
      <c r="F36">
        <v>579387</v>
      </c>
    </row>
    <row r="37" spans="1:6" x14ac:dyDescent="0.25">
      <c r="A37">
        <v>35</v>
      </c>
      <c r="B37" s="143">
        <v>44623</v>
      </c>
      <c r="C37" t="s">
        <v>265</v>
      </c>
      <c r="E37" s="144">
        <v>-11350</v>
      </c>
      <c r="F37">
        <v>158542</v>
      </c>
    </row>
    <row r="38" spans="1:6" x14ac:dyDescent="0.25">
      <c r="A38">
        <v>36</v>
      </c>
      <c r="B38" s="143">
        <v>44623</v>
      </c>
      <c r="C38" t="s">
        <v>266</v>
      </c>
      <c r="E38" s="144">
        <v>-3405</v>
      </c>
      <c r="F38">
        <v>158542</v>
      </c>
    </row>
    <row r="39" spans="1:6" x14ac:dyDescent="0.25">
      <c r="A39">
        <v>37</v>
      </c>
      <c r="B39" s="143">
        <v>44623</v>
      </c>
      <c r="C39" t="s">
        <v>267</v>
      </c>
      <c r="E39" s="144">
        <v>-3972.5</v>
      </c>
      <c r="F39">
        <v>158542</v>
      </c>
    </row>
    <row r="40" spans="1:6" x14ac:dyDescent="0.25">
      <c r="A40">
        <v>38</v>
      </c>
      <c r="B40" s="143">
        <v>44622</v>
      </c>
      <c r="C40" t="s">
        <v>325</v>
      </c>
      <c r="D40" t="s">
        <v>326</v>
      </c>
      <c r="E40" s="144">
        <v>-550.01</v>
      </c>
      <c r="F40">
        <v>14361</v>
      </c>
    </row>
    <row r="41" spans="1:6" x14ac:dyDescent="0.25">
      <c r="A41">
        <v>39</v>
      </c>
      <c r="B41" s="143">
        <v>44622</v>
      </c>
      <c r="C41" t="s">
        <v>217</v>
      </c>
      <c r="D41" t="s">
        <v>327</v>
      </c>
      <c r="E41" s="144">
        <v>-1075.55</v>
      </c>
      <c r="F41">
        <v>588421</v>
      </c>
    </row>
    <row r="42" spans="1:6" x14ac:dyDescent="0.25">
      <c r="A42">
        <v>40</v>
      </c>
      <c r="B42" s="143">
        <v>44622</v>
      </c>
      <c r="C42" t="s">
        <v>217</v>
      </c>
      <c r="D42" t="s">
        <v>312</v>
      </c>
      <c r="E42" s="144">
        <v>-640</v>
      </c>
      <c r="F42">
        <v>989273</v>
      </c>
    </row>
    <row r="43" spans="1:6" x14ac:dyDescent="0.25">
      <c r="A43">
        <v>41</v>
      </c>
      <c r="B43" s="143">
        <v>44622</v>
      </c>
      <c r="C43" t="s">
        <v>217</v>
      </c>
      <c r="D43" t="s">
        <v>227</v>
      </c>
      <c r="E43" s="144">
        <v>-400</v>
      </c>
      <c r="F43">
        <v>989651</v>
      </c>
    </row>
    <row r="44" spans="1:6" x14ac:dyDescent="0.25">
      <c r="A44">
        <v>42</v>
      </c>
      <c r="B44" s="143">
        <v>44622</v>
      </c>
      <c r="C44" t="s">
        <v>217</v>
      </c>
      <c r="D44" t="s">
        <v>226</v>
      </c>
      <c r="E44" s="144">
        <v>-562</v>
      </c>
      <c r="F44">
        <v>391793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22FFB-1359-4E8A-AF38-8B7736689670}">
  <dimension ref="A1:J44"/>
  <sheetViews>
    <sheetView topLeftCell="A28" workbookViewId="0">
      <selection activeCell="D45" sqref="D45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9" width="12.625" style="144" customWidth="1"/>
    <col min="10" max="10" width="30.625" customWidth="1"/>
  </cols>
  <sheetData>
    <row r="1" spans="1:10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288</v>
      </c>
      <c r="F1" s="144" t="s">
        <v>289</v>
      </c>
      <c r="G1" s="144" t="s">
        <v>290</v>
      </c>
      <c r="H1" s="144" t="s">
        <v>291</v>
      </c>
      <c r="I1" s="144" t="s">
        <v>292</v>
      </c>
      <c r="J1" t="s">
        <v>293</v>
      </c>
    </row>
    <row r="2" spans="1:10" x14ac:dyDescent="0.25">
      <c r="A2">
        <v>33</v>
      </c>
      <c r="B2" s="236">
        <v>44623</v>
      </c>
      <c r="C2" t="s">
        <v>217</v>
      </c>
      <c r="D2" t="s">
        <v>311</v>
      </c>
      <c r="E2" s="144">
        <v>-240</v>
      </c>
    </row>
    <row r="3" spans="1:10" x14ac:dyDescent="0.25">
      <c r="A3">
        <v>2</v>
      </c>
      <c r="B3" s="236">
        <v>44651</v>
      </c>
      <c r="C3" t="s">
        <v>224</v>
      </c>
      <c r="E3" s="144">
        <v>-300.77</v>
      </c>
    </row>
    <row r="4" spans="1:10" x14ac:dyDescent="0.25">
      <c r="A4">
        <v>4</v>
      </c>
      <c r="B4" s="236">
        <v>44649</v>
      </c>
      <c r="C4" t="s">
        <v>217</v>
      </c>
      <c r="D4" t="s">
        <v>303</v>
      </c>
      <c r="E4" s="144">
        <v>-330</v>
      </c>
    </row>
    <row r="5" spans="1:10" x14ac:dyDescent="0.25">
      <c r="A5">
        <v>29</v>
      </c>
      <c r="B5" s="236">
        <v>44627</v>
      </c>
      <c r="C5" t="s">
        <v>307</v>
      </c>
      <c r="D5" t="s">
        <v>323</v>
      </c>
      <c r="E5" s="144">
        <v>-400</v>
      </c>
    </row>
    <row r="6" spans="1:10" x14ac:dyDescent="0.25">
      <c r="A6">
        <v>41</v>
      </c>
      <c r="B6" s="236">
        <v>44622</v>
      </c>
      <c r="C6" t="s">
        <v>217</v>
      </c>
      <c r="D6" t="s">
        <v>227</v>
      </c>
      <c r="E6" s="144">
        <v>-400</v>
      </c>
    </row>
    <row r="7" spans="1:10" x14ac:dyDescent="0.25">
      <c r="A7">
        <v>3</v>
      </c>
      <c r="B7" s="236">
        <v>44649</v>
      </c>
      <c r="C7" t="s">
        <v>217</v>
      </c>
      <c r="D7" t="s">
        <v>312</v>
      </c>
      <c r="E7" s="144">
        <v>-420</v>
      </c>
    </row>
    <row r="8" spans="1:10" x14ac:dyDescent="0.25">
      <c r="A8">
        <v>25</v>
      </c>
      <c r="B8" s="236">
        <v>44628</v>
      </c>
      <c r="C8" t="s">
        <v>228</v>
      </c>
      <c r="D8" t="s">
        <v>317</v>
      </c>
      <c r="E8" s="144">
        <v>-500</v>
      </c>
    </row>
    <row r="9" spans="1:10" x14ac:dyDescent="0.25">
      <c r="A9">
        <v>32</v>
      </c>
      <c r="B9" s="236">
        <v>44624</v>
      </c>
      <c r="C9" t="s">
        <v>217</v>
      </c>
      <c r="D9" t="s">
        <v>303</v>
      </c>
      <c r="E9" s="144">
        <v>-500</v>
      </c>
    </row>
    <row r="10" spans="1:10" x14ac:dyDescent="0.25">
      <c r="A10">
        <v>17</v>
      </c>
      <c r="B10" s="236">
        <v>44634</v>
      </c>
      <c r="C10" t="s">
        <v>217</v>
      </c>
      <c r="D10" t="s">
        <v>303</v>
      </c>
      <c r="E10" s="144">
        <v>-510</v>
      </c>
    </row>
    <row r="11" spans="1:10" x14ac:dyDescent="0.25">
      <c r="A11">
        <v>38</v>
      </c>
      <c r="B11" s="236">
        <v>44622</v>
      </c>
      <c r="C11" t="s">
        <v>325</v>
      </c>
      <c r="D11" t="s">
        <v>326</v>
      </c>
      <c r="E11" s="144">
        <v>-550.01</v>
      </c>
    </row>
    <row r="12" spans="1:10" x14ac:dyDescent="0.25">
      <c r="A12">
        <v>42</v>
      </c>
      <c r="B12" s="236">
        <v>44622</v>
      </c>
      <c r="C12" t="s">
        <v>217</v>
      </c>
      <c r="D12" t="s">
        <v>226</v>
      </c>
      <c r="E12" s="144">
        <v>-562</v>
      </c>
    </row>
    <row r="13" spans="1:10" x14ac:dyDescent="0.25">
      <c r="A13">
        <v>40</v>
      </c>
      <c r="B13" s="236">
        <v>44622</v>
      </c>
      <c r="C13" t="s">
        <v>217</v>
      </c>
      <c r="D13" t="s">
        <v>312</v>
      </c>
      <c r="E13" s="144">
        <v>-640</v>
      </c>
    </row>
    <row r="14" spans="1:10" x14ac:dyDescent="0.25">
      <c r="A14">
        <v>6</v>
      </c>
      <c r="B14" s="236">
        <v>44648</v>
      </c>
      <c r="C14" t="s">
        <v>217</v>
      </c>
      <c r="D14" t="s">
        <v>254</v>
      </c>
      <c r="E14" s="144">
        <v>-660</v>
      </c>
    </row>
    <row r="15" spans="1:10" x14ac:dyDescent="0.25">
      <c r="A15">
        <v>7</v>
      </c>
      <c r="B15" s="236">
        <v>44648</v>
      </c>
      <c r="C15" t="s">
        <v>217</v>
      </c>
      <c r="D15" t="s">
        <v>222</v>
      </c>
      <c r="E15" s="144">
        <v>-810</v>
      </c>
    </row>
    <row r="16" spans="1:10" x14ac:dyDescent="0.25">
      <c r="A16">
        <v>27</v>
      </c>
      <c r="B16" s="236">
        <v>44627</v>
      </c>
      <c r="C16" t="s">
        <v>217</v>
      </c>
      <c r="D16" t="s">
        <v>302</v>
      </c>
      <c r="E16" s="144">
        <v>-863</v>
      </c>
    </row>
    <row r="17" spans="1:7" x14ac:dyDescent="0.25">
      <c r="A17">
        <v>20</v>
      </c>
      <c r="B17" s="236">
        <v>44631</v>
      </c>
      <c r="C17" t="s">
        <v>217</v>
      </c>
      <c r="D17" t="s">
        <v>319</v>
      </c>
      <c r="E17" s="144">
        <v>-960</v>
      </c>
    </row>
    <row r="18" spans="1:7" x14ac:dyDescent="0.25">
      <c r="A18">
        <v>5</v>
      </c>
      <c r="B18" s="236">
        <v>44648</v>
      </c>
      <c r="C18" t="s">
        <v>217</v>
      </c>
      <c r="D18" t="s">
        <v>313</v>
      </c>
      <c r="E18" s="144">
        <v>-970</v>
      </c>
    </row>
    <row r="19" spans="1:7" x14ac:dyDescent="0.25">
      <c r="A19">
        <v>15</v>
      </c>
      <c r="B19" s="236">
        <v>44636</v>
      </c>
      <c r="C19" t="s">
        <v>228</v>
      </c>
      <c r="D19" t="s">
        <v>317</v>
      </c>
      <c r="E19" s="144">
        <v>-1000</v>
      </c>
    </row>
    <row r="20" spans="1:7" x14ac:dyDescent="0.25">
      <c r="A20">
        <v>39</v>
      </c>
      <c r="B20" s="236">
        <v>44622</v>
      </c>
      <c r="C20" t="s">
        <v>217</v>
      </c>
      <c r="D20" t="s">
        <v>327</v>
      </c>
      <c r="E20" s="144">
        <v>-1075.55</v>
      </c>
    </row>
    <row r="21" spans="1:7" x14ac:dyDescent="0.25">
      <c r="A21">
        <v>23</v>
      </c>
      <c r="B21" s="236">
        <v>44630</v>
      </c>
      <c r="C21" t="s">
        <v>217</v>
      </c>
      <c r="D21" t="s">
        <v>226</v>
      </c>
      <c r="E21" s="144">
        <v>-1105</v>
      </c>
    </row>
    <row r="22" spans="1:7" x14ac:dyDescent="0.25">
      <c r="A22">
        <v>14</v>
      </c>
      <c r="B22" s="236">
        <v>44636</v>
      </c>
      <c r="C22" t="s">
        <v>228</v>
      </c>
      <c r="D22" t="s">
        <v>316</v>
      </c>
      <c r="E22" s="144">
        <v>-1125</v>
      </c>
    </row>
    <row r="23" spans="1:7" x14ac:dyDescent="0.25">
      <c r="A23">
        <v>13</v>
      </c>
      <c r="B23" s="236">
        <v>44638</v>
      </c>
      <c r="C23" t="s">
        <v>217</v>
      </c>
      <c r="D23" t="s">
        <v>300</v>
      </c>
      <c r="E23" s="144">
        <v>-1200</v>
      </c>
    </row>
    <row r="24" spans="1:7" x14ac:dyDescent="0.25">
      <c r="A24">
        <v>0</v>
      </c>
      <c r="B24" s="236">
        <v>44651</v>
      </c>
      <c r="C24" t="s">
        <v>217</v>
      </c>
      <c r="D24" t="s">
        <v>303</v>
      </c>
      <c r="E24" s="144">
        <v>-1220</v>
      </c>
    </row>
    <row r="25" spans="1:7" x14ac:dyDescent="0.25">
      <c r="A25">
        <v>1</v>
      </c>
      <c r="B25" s="236">
        <v>44651</v>
      </c>
      <c r="C25" t="s">
        <v>223</v>
      </c>
      <c r="E25" s="144">
        <v>-1432.22</v>
      </c>
    </row>
    <row r="26" spans="1:7" x14ac:dyDescent="0.25">
      <c r="A26">
        <v>10</v>
      </c>
      <c r="B26" s="236">
        <v>44641</v>
      </c>
      <c r="C26" t="s">
        <v>217</v>
      </c>
      <c r="D26" t="s">
        <v>238</v>
      </c>
      <c r="E26" s="144">
        <v>-1500</v>
      </c>
    </row>
    <row r="27" spans="1:7" x14ac:dyDescent="0.25">
      <c r="A27">
        <v>9</v>
      </c>
      <c r="B27" s="236">
        <v>44641</v>
      </c>
      <c r="C27" t="s">
        <v>217</v>
      </c>
      <c r="D27" t="s">
        <v>315</v>
      </c>
      <c r="E27" s="144">
        <v>-1880</v>
      </c>
    </row>
    <row r="28" spans="1:7" x14ac:dyDescent="0.25">
      <c r="A28">
        <v>19</v>
      </c>
      <c r="B28" s="236">
        <v>44631</v>
      </c>
      <c r="C28" t="s">
        <v>217</v>
      </c>
      <c r="D28" t="s">
        <v>318</v>
      </c>
      <c r="E28" s="144">
        <v>-1900</v>
      </c>
    </row>
    <row r="29" spans="1:7" x14ac:dyDescent="0.25">
      <c r="A29">
        <v>18</v>
      </c>
      <c r="B29" s="236">
        <v>44634</v>
      </c>
      <c r="C29" t="s">
        <v>228</v>
      </c>
      <c r="D29" t="s">
        <v>229</v>
      </c>
      <c r="E29" s="144">
        <v>-2500</v>
      </c>
    </row>
    <row r="30" spans="1:7" x14ac:dyDescent="0.25">
      <c r="A30">
        <v>12</v>
      </c>
      <c r="B30" s="236">
        <v>44641</v>
      </c>
      <c r="C30" t="s">
        <v>228</v>
      </c>
      <c r="D30" t="s">
        <v>245</v>
      </c>
      <c r="E30" s="144">
        <v>-3500</v>
      </c>
    </row>
    <row r="31" spans="1:7" x14ac:dyDescent="0.25">
      <c r="A31">
        <v>16</v>
      </c>
      <c r="B31" s="236">
        <v>44636</v>
      </c>
      <c r="C31" t="s">
        <v>232</v>
      </c>
      <c r="D31" t="s">
        <v>305</v>
      </c>
      <c r="E31" s="144">
        <v>-3745.06</v>
      </c>
    </row>
    <row r="32" spans="1:7" x14ac:dyDescent="0.25">
      <c r="A32" s="153">
        <v>31</v>
      </c>
      <c r="B32" s="237">
        <v>44627</v>
      </c>
      <c r="C32" s="153" t="s">
        <v>232</v>
      </c>
      <c r="D32" s="153" t="s">
        <v>305</v>
      </c>
      <c r="E32" s="145">
        <v>-35853.17</v>
      </c>
      <c r="F32" s="145"/>
      <c r="G32" s="145">
        <f>-15449.4*2</f>
        <v>-30898.799999999999</v>
      </c>
    </row>
    <row r="33" spans="1:10" x14ac:dyDescent="0.25">
      <c r="A33" s="153">
        <v>22</v>
      </c>
      <c r="B33" s="237">
        <v>44631</v>
      </c>
      <c r="C33" s="153" t="s">
        <v>228</v>
      </c>
      <c r="D33" s="153" t="s">
        <v>322</v>
      </c>
      <c r="E33" s="145">
        <v>-100000</v>
      </c>
      <c r="F33" s="155"/>
      <c r="G33" s="155"/>
    </row>
    <row r="34" spans="1:10" x14ac:dyDescent="0.25">
      <c r="A34">
        <v>8</v>
      </c>
      <c r="B34" s="236">
        <v>44645</v>
      </c>
      <c r="C34" t="s">
        <v>241</v>
      </c>
      <c r="D34" t="s">
        <v>314</v>
      </c>
      <c r="I34" s="144">
        <v>-10000</v>
      </c>
    </row>
    <row r="35" spans="1:10" x14ac:dyDescent="0.25">
      <c r="A35" s="153">
        <v>24</v>
      </c>
      <c r="B35" s="237">
        <v>44629</v>
      </c>
      <c r="C35" s="153" t="s">
        <v>260</v>
      </c>
      <c r="D35" s="153" t="s">
        <v>261</v>
      </c>
      <c r="E35" s="145"/>
      <c r="F35" s="145">
        <v>-90176.02</v>
      </c>
      <c r="G35" s="145">
        <v>-16459</v>
      </c>
    </row>
    <row r="36" spans="1:10" x14ac:dyDescent="0.25">
      <c r="A36">
        <v>26</v>
      </c>
      <c r="B36" s="236">
        <v>44627</v>
      </c>
      <c r="C36" t="s">
        <v>274</v>
      </c>
      <c r="D36" t="s">
        <v>275</v>
      </c>
      <c r="F36" s="144">
        <v>-42285.7</v>
      </c>
    </row>
    <row r="37" spans="1:10" x14ac:dyDescent="0.25">
      <c r="A37">
        <v>28</v>
      </c>
      <c r="B37" s="236">
        <v>44627</v>
      </c>
      <c r="C37" t="s">
        <v>284</v>
      </c>
      <c r="D37" t="s">
        <v>285</v>
      </c>
      <c r="I37" s="144">
        <v>-5000</v>
      </c>
    </row>
    <row r="38" spans="1:10" x14ac:dyDescent="0.25">
      <c r="A38">
        <v>35</v>
      </c>
      <c r="B38" s="236">
        <v>44623</v>
      </c>
      <c r="C38" t="s">
        <v>265</v>
      </c>
      <c r="H38" s="144">
        <v>-11350</v>
      </c>
    </row>
    <row r="39" spans="1:10" x14ac:dyDescent="0.25">
      <c r="A39">
        <v>36</v>
      </c>
      <c r="B39" s="236">
        <v>44623</v>
      </c>
      <c r="C39" t="s">
        <v>266</v>
      </c>
      <c r="H39" s="144">
        <v>-3405</v>
      </c>
    </row>
    <row r="40" spans="1:10" x14ac:dyDescent="0.25">
      <c r="A40">
        <v>37</v>
      </c>
      <c r="B40" s="236">
        <v>44623</v>
      </c>
      <c r="C40" t="s">
        <v>267</v>
      </c>
      <c r="H40" s="144">
        <v>-3972.5</v>
      </c>
    </row>
    <row r="41" spans="1:10" x14ac:dyDescent="0.25">
      <c r="A41" s="153"/>
      <c r="B41" s="237" t="s">
        <v>333</v>
      </c>
      <c r="C41" s="153" t="s">
        <v>341</v>
      </c>
      <c r="D41" s="153"/>
      <c r="E41" s="145">
        <v>100000</v>
      </c>
    </row>
    <row r="42" spans="1:10" x14ac:dyDescent="0.25">
      <c r="A42" s="153"/>
      <c r="B42" s="237">
        <v>44627</v>
      </c>
      <c r="C42" s="153" t="s">
        <v>340</v>
      </c>
      <c r="D42" s="153"/>
      <c r="E42" s="145">
        <v>30898.799999999999</v>
      </c>
    </row>
    <row r="43" spans="1:10" x14ac:dyDescent="0.25">
      <c r="A43" s="153"/>
      <c r="B43" s="237">
        <v>44629</v>
      </c>
      <c r="C43" s="153" t="s">
        <v>339</v>
      </c>
      <c r="D43" s="153"/>
      <c r="E43" s="145"/>
      <c r="F43" s="145">
        <v>16459</v>
      </c>
    </row>
    <row r="44" spans="1:10" x14ac:dyDescent="0.25">
      <c r="E44" s="144">
        <f>SUBTOTAL(109,Mar_Debitos[Gastos])</f>
        <v>-37752.979999999996</v>
      </c>
      <c r="F44" s="144">
        <f>SUBTOTAL(109,Mar_Debitos[Tarjetas])</f>
        <v>-116002.72</v>
      </c>
      <c r="G44" s="144">
        <f>SUBTOTAL(109,Mar_Debitos[Impuestos])</f>
        <v>-47357.8</v>
      </c>
      <c r="H44" s="144">
        <f>SUBTOTAL(109,Mar_Debitos[Inversiones])</f>
        <v>-18727.5</v>
      </c>
      <c r="I44" s="144">
        <f>SUBTOTAL(109,Mar_Debitos[Extracciones])</f>
        <v>-15000</v>
      </c>
      <c r="J44">
        <f>SUBTOTAL(103,Mar_Debitos[Comentarios])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7323D-8971-426A-A9D9-86534A8E4F8E}">
  <dimension ref="A1:F6"/>
  <sheetViews>
    <sheetView workbookViewId="0">
      <selection activeCell="F1" sqref="F1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6" width="12.625" style="144" customWidth="1"/>
  </cols>
  <sheetData>
    <row r="1" spans="1:6" x14ac:dyDescent="0.25">
      <c r="A1" t="s">
        <v>287</v>
      </c>
      <c r="B1" t="s">
        <v>144</v>
      </c>
      <c r="C1" t="s">
        <v>213</v>
      </c>
      <c r="D1" t="s">
        <v>214</v>
      </c>
      <c r="E1" s="144" t="s">
        <v>294</v>
      </c>
      <c r="F1" s="144" t="s">
        <v>295</v>
      </c>
    </row>
    <row r="2" spans="1:6" x14ac:dyDescent="0.25">
      <c r="A2">
        <v>11</v>
      </c>
      <c r="B2" s="143">
        <v>44641</v>
      </c>
      <c r="C2" t="s">
        <v>278</v>
      </c>
      <c r="D2" t="s">
        <v>279</v>
      </c>
      <c r="E2" s="144">
        <v>20041.68</v>
      </c>
    </row>
    <row r="3" spans="1:6" x14ac:dyDescent="0.25">
      <c r="A3">
        <v>21</v>
      </c>
      <c r="B3" s="143">
        <v>44631</v>
      </c>
      <c r="C3" t="s">
        <v>320</v>
      </c>
      <c r="D3" t="s">
        <v>321</v>
      </c>
      <c r="F3" s="144">
        <v>105999.63</v>
      </c>
    </row>
    <row r="4" spans="1:6" x14ac:dyDescent="0.25">
      <c r="A4">
        <v>30</v>
      </c>
      <c r="B4" s="143">
        <v>44627</v>
      </c>
      <c r="C4" t="s">
        <v>278</v>
      </c>
      <c r="D4" t="s">
        <v>279</v>
      </c>
      <c r="E4" s="144">
        <v>177317.37</v>
      </c>
    </row>
    <row r="5" spans="1:6" x14ac:dyDescent="0.25">
      <c r="A5">
        <v>34</v>
      </c>
      <c r="B5" s="143">
        <v>44623</v>
      </c>
      <c r="C5" t="s">
        <v>263</v>
      </c>
      <c r="D5" t="s">
        <v>324</v>
      </c>
      <c r="F5" s="144">
        <v>18000</v>
      </c>
    </row>
    <row r="6" spans="1:6" x14ac:dyDescent="0.25">
      <c r="E6" s="144">
        <f>SUBTOTAL(109,Mar_Creditos[Haberes])</f>
        <v>197359.05</v>
      </c>
      <c r="F6" s="144">
        <f>SUBTOTAL(109,Mar_Creditos[Extras])</f>
        <v>123999.63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23AFC-DED5-406D-94BB-333C56E459B8}">
  <dimension ref="A1:I9"/>
  <sheetViews>
    <sheetView workbookViewId="0">
      <selection activeCell="D10" sqref="D10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213</v>
      </c>
      <c r="C1" t="s">
        <v>214</v>
      </c>
      <c r="D1" s="144" t="s">
        <v>288</v>
      </c>
      <c r="E1" s="144" t="s">
        <v>289</v>
      </c>
      <c r="F1" s="144" t="s">
        <v>290</v>
      </c>
      <c r="G1" s="144" t="s">
        <v>291</v>
      </c>
      <c r="H1" s="144" t="s">
        <v>295</v>
      </c>
      <c r="I1" t="s">
        <v>293</v>
      </c>
    </row>
    <row r="2" spans="1:9" x14ac:dyDescent="0.25">
      <c r="A2" s="143">
        <v>44621</v>
      </c>
      <c r="B2" t="s">
        <v>328</v>
      </c>
      <c r="D2" s="144">
        <v>-8660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44622</v>
      </c>
      <c r="B3" t="s">
        <v>329</v>
      </c>
      <c r="D3" s="144">
        <v>-3200</v>
      </c>
      <c r="E3" s="144">
        <v>0</v>
      </c>
      <c r="F3" s="144">
        <v>0</v>
      </c>
      <c r="G3" s="144">
        <v>0</v>
      </c>
      <c r="H3" s="144">
        <v>0</v>
      </c>
    </row>
    <row r="4" spans="1:9" x14ac:dyDescent="0.25">
      <c r="A4" s="143">
        <v>44624</v>
      </c>
      <c r="B4" t="s">
        <v>298</v>
      </c>
      <c r="D4" s="144">
        <v>-13140</v>
      </c>
      <c r="E4" s="144">
        <v>0</v>
      </c>
      <c r="F4" s="144">
        <v>0</v>
      </c>
      <c r="G4" s="144">
        <v>0</v>
      </c>
      <c r="H4" s="144">
        <v>0</v>
      </c>
    </row>
    <row r="5" spans="1:9" x14ac:dyDescent="0.25">
      <c r="A5" s="143">
        <v>44625</v>
      </c>
      <c r="B5" t="s">
        <v>298</v>
      </c>
      <c r="D5" s="144">
        <v>-1080</v>
      </c>
      <c r="E5" s="144">
        <v>0</v>
      </c>
      <c r="F5" s="144">
        <v>0</v>
      </c>
      <c r="G5" s="144">
        <v>0</v>
      </c>
      <c r="H5" s="144">
        <v>0</v>
      </c>
    </row>
    <row r="6" spans="1:9" x14ac:dyDescent="0.25">
      <c r="A6" s="143">
        <v>44626</v>
      </c>
      <c r="B6" t="s">
        <v>330</v>
      </c>
      <c r="D6" s="144">
        <v>0</v>
      </c>
      <c r="E6" s="144">
        <v>0</v>
      </c>
      <c r="F6" s="144">
        <v>0</v>
      </c>
      <c r="G6" s="144">
        <v>0</v>
      </c>
      <c r="H6" s="144">
        <v>50000</v>
      </c>
    </row>
    <row r="7" spans="1:9" x14ac:dyDescent="0.25">
      <c r="A7" s="143">
        <v>44630</v>
      </c>
      <c r="B7" t="s">
        <v>331</v>
      </c>
      <c r="D7" s="144">
        <v>0</v>
      </c>
      <c r="E7" s="144">
        <v>0</v>
      </c>
      <c r="F7" s="144">
        <v>0</v>
      </c>
      <c r="G7" s="144">
        <v>0</v>
      </c>
      <c r="H7" s="144">
        <v>3500</v>
      </c>
    </row>
    <row r="8" spans="1:9" x14ac:dyDescent="0.25">
      <c r="A8" s="143">
        <v>43900</v>
      </c>
      <c r="B8" t="s">
        <v>332</v>
      </c>
      <c r="D8" s="144">
        <v>0</v>
      </c>
      <c r="E8" s="144">
        <v>0</v>
      </c>
      <c r="F8" s="144">
        <v>0</v>
      </c>
      <c r="G8" s="144">
        <v>0</v>
      </c>
      <c r="H8" s="144">
        <v>2200</v>
      </c>
    </row>
    <row r="9" spans="1:9" x14ac:dyDescent="0.25">
      <c r="D9" s="144">
        <f>SUBTOTAL(109,Mar_Efectivo[Gastos])</f>
        <v>-26080</v>
      </c>
      <c r="E9" s="144">
        <f>SUBTOTAL(109,Mar_Efectivo[Tarjetas])</f>
        <v>0</v>
      </c>
      <c r="F9" s="144">
        <f>SUBTOTAL(109,Mar_Efectivo[Impuestos])</f>
        <v>0</v>
      </c>
      <c r="G9" s="144">
        <f>SUBTOTAL(109,Mar_Efectivo[Inversiones])</f>
        <v>0</v>
      </c>
      <c r="H9" s="144">
        <f>SUBTOTAL(109,Mar_Efectivo[Extras])</f>
        <v>55700</v>
      </c>
      <c r="I9">
        <f>SUBTOTAL(103,Mar_Efectivo[Comentarios])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03C69-08EC-4F8B-BB95-A90CEAE384BD}">
  <sheetPr codeName="Hoja2">
    <tabColor rgb="FFFFFF00"/>
  </sheetPr>
  <dimension ref="A1:Q31"/>
  <sheetViews>
    <sheetView zoomScale="70" zoomScaleNormal="70" workbookViewId="0">
      <selection activeCell="F15" sqref="F15"/>
    </sheetView>
  </sheetViews>
  <sheetFormatPr baseColWidth="10" defaultColWidth="8" defaultRowHeight="15" x14ac:dyDescent="0.25"/>
  <cols>
    <col min="1" max="1" width="20.625" style="41" customWidth="1"/>
    <col min="2" max="2" width="14.625" style="41" customWidth="1"/>
    <col min="3" max="3" width="40.625" style="41" customWidth="1"/>
    <col min="4" max="4" width="18.625" style="43" customWidth="1"/>
    <col min="5" max="5" width="6.875" style="44" customWidth="1"/>
    <col min="6" max="17" width="10.5" style="6" customWidth="1"/>
    <col min="18" max="16384" width="8" style="6"/>
  </cols>
  <sheetData>
    <row r="1" spans="1:17" ht="39.950000000000003" customHeight="1" x14ac:dyDescent="0.35">
      <c r="A1" s="243" t="s">
        <v>23</v>
      </c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244"/>
      <c r="Q1" s="244"/>
    </row>
    <row r="2" spans="1:17" ht="39.950000000000003" customHeight="1" x14ac:dyDescent="0.25">
      <c r="A2" s="7"/>
      <c r="B2" s="7"/>
      <c r="C2" s="7"/>
      <c r="D2" s="8"/>
      <c r="E2" s="9"/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9" t="s">
        <v>29</v>
      </c>
      <c r="L2" s="9" t="s">
        <v>30</v>
      </c>
      <c r="M2" s="9" t="s">
        <v>31</v>
      </c>
      <c r="N2" s="9" t="s">
        <v>32</v>
      </c>
      <c r="O2" s="9" t="s">
        <v>33</v>
      </c>
      <c r="P2" s="9" t="s">
        <v>34</v>
      </c>
      <c r="Q2" s="9" t="s">
        <v>35</v>
      </c>
    </row>
    <row r="3" spans="1:17" ht="39.950000000000003" customHeight="1" x14ac:dyDescent="0.25">
      <c r="A3" s="10" t="s">
        <v>36</v>
      </c>
      <c r="B3" s="11" t="s">
        <v>37</v>
      </c>
      <c r="C3" s="11" t="s">
        <v>38</v>
      </c>
      <c r="D3" s="12" t="s">
        <v>39</v>
      </c>
      <c r="E3" s="13" t="s">
        <v>40</v>
      </c>
      <c r="F3" s="13" t="s">
        <v>41</v>
      </c>
      <c r="G3" s="13" t="s">
        <v>42</v>
      </c>
      <c r="H3" s="13" t="s">
        <v>43</v>
      </c>
      <c r="I3" s="13" t="s">
        <v>44</v>
      </c>
      <c r="J3" s="13" t="s">
        <v>45</v>
      </c>
      <c r="K3" s="13" t="s">
        <v>46</v>
      </c>
      <c r="L3" s="13" t="s">
        <v>47</v>
      </c>
      <c r="M3" s="13" t="s">
        <v>48</v>
      </c>
      <c r="N3" s="13" t="s">
        <v>49</v>
      </c>
      <c r="O3" s="13" t="s">
        <v>50</v>
      </c>
      <c r="P3" s="13" t="s">
        <v>51</v>
      </c>
      <c r="Q3" s="14" t="s">
        <v>52</v>
      </c>
    </row>
    <row r="4" spans="1:17" ht="30" customHeight="1" x14ac:dyDescent="0.25">
      <c r="A4" s="15" t="s">
        <v>53</v>
      </c>
      <c r="B4" s="16" t="s">
        <v>54</v>
      </c>
      <c r="C4" s="16" t="s">
        <v>55</v>
      </c>
      <c r="D4" s="17" t="s">
        <v>56</v>
      </c>
      <c r="E4" s="18">
        <v>11</v>
      </c>
      <c r="F4" s="19"/>
      <c r="G4" s="19">
        <v>620</v>
      </c>
      <c r="H4" s="19"/>
      <c r="I4" s="19"/>
      <c r="J4" s="19"/>
      <c r="K4" s="19"/>
      <c r="L4" s="19"/>
      <c r="M4" s="19"/>
      <c r="N4" s="19"/>
      <c r="O4" s="19"/>
      <c r="P4" s="19"/>
      <c r="Q4" s="20"/>
    </row>
    <row r="5" spans="1:17" ht="30" customHeight="1" x14ac:dyDescent="0.25">
      <c r="A5" s="15" t="s">
        <v>53</v>
      </c>
      <c r="B5" s="16" t="s">
        <v>54</v>
      </c>
      <c r="C5" s="16" t="s">
        <v>59</v>
      </c>
      <c r="D5" s="17" t="s">
        <v>60</v>
      </c>
      <c r="E5" s="18">
        <v>11</v>
      </c>
      <c r="F5" s="19"/>
      <c r="G5" s="19">
        <v>1220</v>
      </c>
      <c r="H5" s="19"/>
      <c r="I5" s="19"/>
      <c r="J5" s="19"/>
      <c r="K5" s="19"/>
      <c r="L5" s="19"/>
      <c r="M5" s="19"/>
      <c r="N5" s="19"/>
      <c r="O5" s="19"/>
      <c r="P5" s="19"/>
      <c r="Q5" s="20"/>
    </row>
    <row r="6" spans="1:17" ht="30" customHeight="1" x14ac:dyDescent="0.25">
      <c r="A6" s="15" t="s">
        <v>53</v>
      </c>
      <c r="B6" s="16" t="s">
        <v>62</v>
      </c>
      <c r="C6" s="16" t="s">
        <v>63</v>
      </c>
      <c r="D6" s="27">
        <v>120106758617</v>
      </c>
      <c r="E6" s="18">
        <v>11</v>
      </c>
      <c r="F6" s="19"/>
      <c r="G6" s="19">
        <v>540</v>
      </c>
      <c r="H6" s="19"/>
      <c r="I6" s="19"/>
      <c r="J6" s="19"/>
      <c r="K6" s="19"/>
      <c r="L6" s="19"/>
      <c r="M6" s="19"/>
      <c r="N6" s="19"/>
      <c r="O6" s="19"/>
      <c r="P6" s="19"/>
      <c r="Q6" s="20"/>
    </row>
    <row r="7" spans="1:17" ht="30" customHeight="1" x14ac:dyDescent="0.25">
      <c r="A7" s="15" t="s">
        <v>53</v>
      </c>
      <c r="B7" s="16" t="s">
        <v>62</v>
      </c>
      <c r="C7" s="16" t="s">
        <v>64</v>
      </c>
      <c r="D7" s="27">
        <v>110109729043</v>
      </c>
      <c r="E7" s="18">
        <v>11</v>
      </c>
      <c r="F7" s="19"/>
      <c r="G7" s="19">
        <v>3700</v>
      </c>
      <c r="H7" s="19"/>
      <c r="I7" s="19"/>
      <c r="J7" s="19"/>
      <c r="K7" s="19"/>
      <c r="L7" s="19"/>
      <c r="M7" s="19"/>
      <c r="N7" s="19"/>
      <c r="O7" s="19"/>
      <c r="P7" s="19"/>
      <c r="Q7" s="20"/>
    </row>
    <row r="8" spans="1:17" ht="30" customHeight="1" x14ac:dyDescent="0.25">
      <c r="A8" s="15" t="s">
        <v>53</v>
      </c>
      <c r="B8" s="16" t="s">
        <v>62</v>
      </c>
      <c r="C8" s="16" t="s">
        <v>66</v>
      </c>
      <c r="D8" s="27">
        <v>120106758625</v>
      </c>
      <c r="E8" s="18">
        <v>11</v>
      </c>
      <c r="F8" s="19"/>
      <c r="G8" s="19">
        <v>950</v>
      </c>
      <c r="H8" s="19"/>
      <c r="I8" s="19"/>
      <c r="J8" s="19"/>
      <c r="K8" s="19"/>
      <c r="L8" s="19"/>
      <c r="M8" s="19"/>
      <c r="N8" s="19"/>
      <c r="O8" s="19"/>
      <c r="P8" s="19"/>
      <c r="Q8" s="20"/>
    </row>
    <row r="9" spans="1:17" ht="30" customHeight="1" x14ac:dyDescent="0.25">
      <c r="A9" s="21" t="s">
        <v>57</v>
      </c>
      <c r="B9" s="22" t="s">
        <v>54</v>
      </c>
      <c r="C9" s="22" t="s">
        <v>55</v>
      </c>
      <c r="D9" s="23" t="s">
        <v>58</v>
      </c>
      <c r="E9" s="24">
        <v>12</v>
      </c>
      <c r="F9" s="25">
        <f>601+637</f>
        <v>1238</v>
      </c>
      <c r="G9" s="25">
        <v>1238</v>
      </c>
      <c r="H9" s="25"/>
      <c r="I9" s="25"/>
      <c r="J9" s="25"/>
      <c r="K9" s="25"/>
      <c r="L9" s="25"/>
      <c r="M9" s="25"/>
      <c r="N9" s="25"/>
      <c r="O9" s="25"/>
      <c r="P9" s="25"/>
      <c r="Q9" s="26"/>
    </row>
    <row r="10" spans="1:17" ht="30" customHeight="1" x14ac:dyDescent="0.25">
      <c r="A10" s="21" t="s">
        <v>57</v>
      </c>
      <c r="B10" s="22" t="s">
        <v>54</v>
      </c>
      <c r="C10" s="22" t="s">
        <v>59</v>
      </c>
      <c r="D10" s="23" t="s">
        <v>61</v>
      </c>
      <c r="E10" s="24">
        <v>12</v>
      </c>
      <c r="F10" s="25">
        <f>1075+1139</f>
        <v>2214</v>
      </c>
      <c r="G10" s="25">
        <v>2214</v>
      </c>
      <c r="H10" s="25"/>
      <c r="I10" s="25"/>
      <c r="J10" s="25"/>
      <c r="K10" s="25"/>
      <c r="L10" s="25"/>
      <c r="M10" s="25"/>
      <c r="N10" s="25"/>
      <c r="O10" s="25"/>
      <c r="P10" s="25"/>
      <c r="Q10" s="26"/>
    </row>
    <row r="11" spans="1:17" ht="30" customHeight="1" x14ac:dyDescent="0.25">
      <c r="A11" s="21" t="s">
        <v>57</v>
      </c>
      <c r="B11" s="22" t="s">
        <v>62</v>
      </c>
      <c r="C11" s="22" t="s">
        <v>65</v>
      </c>
      <c r="D11" s="28">
        <v>517016006000006</v>
      </c>
      <c r="E11" s="24">
        <v>12</v>
      </c>
      <c r="F11" s="25">
        <f>2879+661</f>
        <v>3540</v>
      </c>
      <c r="G11" s="25">
        <v>3540</v>
      </c>
      <c r="H11" s="25"/>
      <c r="I11" s="25"/>
      <c r="J11" s="25"/>
      <c r="K11" s="25"/>
      <c r="L11" s="25"/>
      <c r="M11" s="25"/>
      <c r="N11" s="25"/>
      <c r="O11" s="25"/>
      <c r="P11" s="25"/>
      <c r="Q11" s="26"/>
    </row>
    <row r="12" spans="1:17" ht="30" customHeight="1" x14ac:dyDescent="0.25">
      <c r="A12" s="29" t="s">
        <v>67</v>
      </c>
      <c r="B12" s="30" t="s">
        <v>62</v>
      </c>
      <c r="C12" s="30" t="s">
        <v>66</v>
      </c>
      <c r="D12" s="31" t="s">
        <v>68</v>
      </c>
      <c r="E12" s="32">
        <v>1</v>
      </c>
      <c r="F12" s="33"/>
      <c r="G12" s="33">
        <v>15449.4</v>
      </c>
      <c r="H12" s="33"/>
      <c r="I12" s="33"/>
      <c r="J12" s="33"/>
      <c r="K12" s="33"/>
      <c r="L12" s="33"/>
      <c r="M12" s="33"/>
      <c r="N12" s="33"/>
      <c r="O12" s="33"/>
      <c r="P12" s="33"/>
      <c r="Q12" s="34"/>
    </row>
    <row r="13" spans="1:17" ht="30" customHeight="1" x14ac:dyDescent="0.25">
      <c r="A13" s="29" t="s">
        <v>67</v>
      </c>
      <c r="B13" s="30" t="s">
        <v>62</v>
      </c>
      <c r="C13" s="30" t="s">
        <v>63</v>
      </c>
      <c r="D13" s="31" t="s">
        <v>69</v>
      </c>
      <c r="E13" s="32">
        <v>1</v>
      </c>
      <c r="F13" s="33"/>
      <c r="G13" s="33">
        <v>15449.4</v>
      </c>
      <c r="H13" s="33"/>
      <c r="I13" s="33"/>
      <c r="J13" s="33"/>
      <c r="K13" s="33"/>
      <c r="L13" s="33"/>
      <c r="M13" s="33"/>
      <c r="N13" s="33"/>
      <c r="O13" s="33"/>
      <c r="P13" s="33"/>
      <c r="Q13" s="34"/>
    </row>
    <row r="14" spans="1:17" ht="30" customHeight="1" x14ac:dyDescent="0.25">
      <c r="A14" s="35" t="s">
        <v>70</v>
      </c>
      <c r="B14" s="36" t="s">
        <v>71</v>
      </c>
      <c r="C14" s="36" t="s">
        <v>72</v>
      </c>
      <c r="D14" s="37" t="s">
        <v>73</v>
      </c>
      <c r="E14" s="38">
        <v>6</v>
      </c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40"/>
    </row>
    <row r="15" spans="1:17" ht="30" customHeight="1" x14ac:dyDescent="0.25"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</row>
    <row r="16" spans="1:17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</sheetData>
  <mergeCells count="1">
    <mergeCell ref="A1:Q1"/>
  </mergeCells>
  <pageMargins left="0.75" right="0.75" top="1" bottom="1" header="0.5" footer="0.5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FD510-3F43-49DD-9F3A-3E0312197879}">
  <sheetPr codeName="Hoja3">
    <tabColor rgb="FFFFC000"/>
  </sheetPr>
  <dimension ref="A1:N11"/>
  <sheetViews>
    <sheetView zoomScale="90" zoomScaleNormal="90" workbookViewId="0">
      <selection activeCell="C5" sqref="C5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6384" width="8" style="6"/>
  </cols>
  <sheetData>
    <row r="1" spans="1:14" ht="27.75" customHeight="1" thickBot="1" x14ac:dyDescent="0.3">
      <c r="A1" s="245" t="s">
        <v>74</v>
      </c>
      <c r="B1" s="246"/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7"/>
    </row>
    <row r="2" spans="1:14" ht="39.950000000000003" customHeight="1" thickBot="1" x14ac:dyDescent="0.3">
      <c r="A2" s="45" t="s">
        <v>75</v>
      </c>
      <c r="B2" s="46" t="s">
        <v>76</v>
      </c>
      <c r="C2" s="46" t="s">
        <v>77</v>
      </c>
      <c r="D2" s="46" t="s">
        <v>78</v>
      </c>
      <c r="E2" s="46" t="s">
        <v>79</v>
      </c>
      <c r="F2" s="46" t="s">
        <v>80</v>
      </c>
      <c r="G2" s="46" t="s">
        <v>81</v>
      </c>
      <c r="H2" s="46" t="s">
        <v>82</v>
      </c>
      <c r="I2" s="46" t="s">
        <v>83</v>
      </c>
      <c r="J2" s="46" t="s">
        <v>84</v>
      </c>
      <c r="K2" s="46" t="s">
        <v>85</v>
      </c>
      <c r="L2" s="46" t="s">
        <v>86</v>
      </c>
      <c r="M2" s="46" t="s">
        <v>87</v>
      </c>
      <c r="N2" s="47" t="s">
        <v>88</v>
      </c>
    </row>
    <row r="3" spans="1:14" ht="30" customHeight="1" x14ac:dyDescent="0.25">
      <c r="A3" s="48" t="s">
        <v>89</v>
      </c>
      <c r="B3" s="146">
        <v>-102088.66999999998</v>
      </c>
      <c r="C3" s="146">
        <v>-93867.989999999991</v>
      </c>
      <c r="D3" s="146">
        <v>-116002.72</v>
      </c>
      <c r="E3" s="146"/>
      <c r="F3" s="146"/>
      <c r="G3" s="146"/>
      <c r="H3" s="146"/>
      <c r="I3" s="146"/>
      <c r="J3" s="146"/>
      <c r="K3" s="146"/>
      <c r="L3" s="146"/>
      <c r="M3" s="146"/>
      <c r="N3" s="147">
        <v>-311959.38</v>
      </c>
    </row>
    <row r="4" spans="1:14" ht="30" customHeight="1" x14ac:dyDescent="0.25">
      <c r="A4" s="49" t="s">
        <v>90</v>
      </c>
      <c r="B4" s="148">
        <v>-96217.17</v>
      </c>
      <c r="C4" s="148">
        <v>-221598.97</v>
      </c>
      <c r="D4" s="148">
        <v>-37752.979999999996</v>
      </c>
      <c r="E4" s="148"/>
      <c r="F4" s="148"/>
      <c r="G4" s="148"/>
      <c r="H4" s="148"/>
      <c r="I4" s="148"/>
      <c r="J4" s="148"/>
      <c r="K4" s="148"/>
      <c r="L4" s="148"/>
      <c r="M4" s="148"/>
      <c r="N4" s="149">
        <v>-355569.12</v>
      </c>
    </row>
    <row r="5" spans="1:14" ht="30" customHeight="1" x14ac:dyDescent="0.25">
      <c r="A5" s="49" t="s">
        <v>91</v>
      </c>
      <c r="B5" s="148">
        <v>-24065</v>
      </c>
      <c r="C5" s="148">
        <v>-279487</v>
      </c>
      <c r="D5" s="148">
        <v>-26080</v>
      </c>
      <c r="E5" s="148"/>
      <c r="F5" s="148"/>
      <c r="G5" s="148"/>
      <c r="H5" s="148"/>
      <c r="I5" s="148"/>
      <c r="J5" s="148"/>
      <c r="K5" s="148"/>
      <c r="L5" s="148"/>
      <c r="M5" s="148"/>
      <c r="N5" s="149">
        <v>-329632</v>
      </c>
    </row>
    <row r="6" spans="1:14" ht="30" customHeight="1" thickBot="1" x14ac:dyDescent="0.3">
      <c r="A6" s="50" t="s">
        <v>92</v>
      </c>
      <c r="B6" s="150">
        <v>0</v>
      </c>
      <c r="C6" s="150">
        <v>0</v>
      </c>
      <c r="D6" s="150">
        <v>0</v>
      </c>
      <c r="E6" s="150"/>
      <c r="F6" s="150"/>
      <c r="G6" s="150"/>
      <c r="H6" s="150"/>
      <c r="I6" s="150"/>
      <c r="J6" s="150"/>
      <c r="K6" s="150"/>
      <c r="L6" s="150"/>
      <c r="M6" s="150"/>
      <c r="N6" s="151">
        <v>0</v>
      </c>
    </row>
    <row r="7" spans="1:14" ht="30" customHeight="1" x14ac:dyDescent="0.25">
      <c r="A7" s="157"/>
      <c r="B7" s="156">
        <f>SUBTOTAL(109,Gastos[31-Ene])</f>
        <v>-222370.83999999997</v>
      </c>
      <c r="C7" s="156">
        <f>SUBTOTAL(109,Gastos[28-Feb])</f>
        <v>-594953.96</v>
      </c>
      <c r="D7" s="156">
        <f>SUBTOTAL(109,Gastos[31-Mar])</f>
        <v>-179835.7</v>
      </c>
      <c r="E7" s="156">
        <f>SUBTOTAL(109,Gastos[30-Abr])</f>
        <v>0</v>
      </c>
      <c r="F7" s="156">
        <f>SUBTOTAL(109,Gastos[31-May])</f>
        <v>0</v>
      </c>
      <c r="G7" s="156">
        <f>SUBTOTAL(109,Gastos[30-Jun])</f>
        <v>0</v>
      </c>
      <c r="H7" s="156">
        <f>SUBTOTAL(109,Gastos[31-Jul])</f>
        <v>0</v>
      </c>
      <c r="I7" s="156">
        <f>SUBTOTAL(109,Gastos[31-Ago])</f>
        <v>0</v>
      </c>
      <c r="J7" s="156">
        <f>SUBTOTAL(109,Gastos[30-Sep])</f>
        <v>0</v>
      </c>
      <c r="K7" s="156">
        <f>SUBTOTAL(109,Gastos[31-Oct])</f>
        <v>0</v>
      </c>
      <c r="L7" s="156">
        <f>SUBTOTAL(109,Gastos[30-Nov])</f>
        <v>0</v>
      </c>
      <c r="M7" s="156">
        <f>SUBTOTAL(109,Gastos[31-Dic])</f>
        <v>0</v>
      </c>
      <c r="N7" s="158">
        <f>SUBTOTAL(109,Gastos[ANUAL])</f>
        <v>-997160.5</v>
      </c>
    </row>
    <row r="8" spans="1:14" ht="20.100000000000001" customHeight="1" x14ac:dyDescent="0.25">
      <c r="A8" s="51"/>
      <c r="B8" s="52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2"/>
    </row>
    <row r="9" spans="1:14" ht="20.100000000000001" customHeight="1" x14ac:dyDescent="0.25">
      <c r="A9" s="51"/>
      <c r="B9" s="52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2"/>
    </row>
    <row r="10" spans="1:14" ht="20.100000000000001" customHeight="1" x14ac:dyDescent="0.25">
      <c r="A10" s="51"/>
      <c r="B10" s="52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2"/>
    </row>
    <row r="11" spans="1:14" ht="30.75" customHeight="1" x14ac:dyDescent="0.25">
      <c r="A11" s="54" t="s">
        <v>93</v>
      </c>
      <c r="B11" s="55"/>
      <c r="C11" s="55"/>
      <c r="D11" s="55">
        <f t="shared" ref="D11:M11" si="0">SUM(D3:D6)</f>
        <v>-179835.7</v>
      </c>
      <c r="E11" s="55">
        <f t="shared" si="0"/>
        <v>0</v>
      </c>
      <c r="F11" s="55">
        <f t="shared" si="0"/>
        <v>0</v>
      </c>
      <c r="G11" s="55">
        <f t="shared" si="0"/>
        <v>0</v>
      </c>
      <c r="H11" s="55">
        <f t="shared" si="0"/>
        <v>0</v>
      </c>
      <c r="I11" s="55">
        <f t="shared" si="0"/>
        <v>0</v>
      </c>
      <c r="J11" s="55">
        <f t="shared" si="0"/>
        <v>0</v>
      </c>
      <c r="K11" s="55">
        <f t="shared" si="0"/>
        <v>0</v>
      </c>
      <c r="L11" s="55">
        <f t="shared" si="0"/>
        <v>0</v>
      </c>
      <c r="M11" s="55">
        <f t="shared" si="0"/>
        <v>0</v>
      </c>
      <c r="N11" s="55"/>
    </row>
  </sheetData>
  <mergeCells count="1">
    <mergeCell ref="A1:N1"/>
  </mergeCells>
  <pageMargins left="0.75" right="0.75" top="1" bottom="1" header="0.5" footer="0.5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3F43E-7502-4DEB-9015-066594E5B934}">
  <sheetPr codeName="Hoja4">
    <tabColor theme="3" tint="0.39997558519241921"/>
  </sheetPr>
  <dimension ref="A1:N12"/>
  <sheetViews>
    <sheetView zoomScale="90" zoomScaleNormal="90" workbookViewId="0">
      <selection activeCell="C6" sqref="C6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6384" width="8" style="6"/>
  </cols>
  <sheetData>
    <row r="1" spans="1:14" ht="34.5" customHeight="1" thickBot="1" x14ac:dyDescent="0.3">
      <c r="A1" s="248" t="s">
        <v>94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50"/>
    </row>
    <row r="2" spans="1:14" ht="39.950000000000003" customHeight="1" thickBot="1" x14ac:dyDescent="0.3">
      <c r="A2" s="56" t="s">
        <v>95</v>
      </c>
      <c r="B2" s="57" t="s">
        <v>76</v>
      </c>
      <c r="C2" s="57" t="s">
        <v>77</v>
      </c>
      <c r="D2" s="57" t="s">
        <v>78</v>
      </c>
      <c r="E2" s="57" t="s">
        <v>79</v>
      </c>
      <c r="F2" s="57" t="s">
        <v>80</v>
      </c>
      <c r="G2" s="57" t="s">
        <v>81</v>
      </c>
      <c r="H2" s="57" t="s">
        <v>82</v>
      </c>
      <c r="I2" s="57" t="s">
        <v>83</v>
      </c>
      <c r="J2" s="57" t="s">
        <v>84</v>
      </c>
      <c r="K2" s="57" t="s">
        <v>85</v>
      </c>
      <c r="L2" s="57" t="s">
        <v>86</v>
      </c>
      <c r="M2" s="57" t="s">
        <v>87</v>
      </c>
      <c r="N2" s="58" t="s">
        <v>88</v>
      </c>
    </row>
    <row r="3" spans="1:14" ht="30" customHeight="1" x14ac:dyDescent="0.25">
      <c r="A3" s="59" t="s">
        <v>96</v>
      </c>
      <c r="B3" s="60">
        <v>147958.43</v>
      </c>
      <c r="C3" s="60">
        <v>193098.76</v>
      </c>
      <c r="D3" s="60">
        <v>197359.05</v>
      </c>
      <c r="E3" s="60"/>
      <c r="F3" s="60"/>
      <c r="G3" s="60"/>
      <c r="H3" s="60"/>
      <c r="I3" s="60"/>
      <c r="J3" s="60"/>
      <c r="K3" s="60"/>
      <c r="L3" s="60"/>
      <c r="M3" s="60"/>
      <c r="N3" s="61">
        <v>538416.24</v>
      </c>
    </row>
    <row r="4" spans="1:14" ht="30" customHeight="1" x14ac:dyDescent="0.25">
      <c r="A4" s="62" t="s">
        <v>97</v>
      </c>
      <c r="B4" s="63">
        <v>38005.1</v>
      </c>
      <c r="C4" s="63">
        <v>80206.39</v>
      </c>
      <c r="D4" s="63">
        <v>123999.63</v>
      </c>
      <c r="E4" s="63"/>
      <c r="F4" s="63"/>
      <c r="G4" s="63"/>
      <c r="H4" s="63"/>
      <c r="I4" s="63"/>
      <c r="J4" s="63"/>
      <c r="K4" s="63"/>
      <c r="L4" s="63"/>
      <c r="M4" s="63"/>
      <c r="N4" s="64">
        <v>242211.12</v>
      </c>
    </row>
    <row r="5" spans="1:14" ht="30" customHeight="1" x14ac:dyDescent="0.25">
      <c r="A5" s="65" t="s">
        <v>98</v>
      </c>
      <c r="B5" s="66">
        <v>185963.53</v>
      </c>
      <c r="C5" s="66">
        <v>273305.15000000002</v>
      </c>
      <c r="D5" s="66">
        <v>321358.68</v>
      </c>
      <c r="E5" s="66"/>
      <c r="F5" s="66"/>
      <c r="G5" s="66"/>
      <c r="H5" s="66"/>
      <c r="I5" s="66"/>
      <c r="J5" s="66"/>
      <c r="K5" s="66"/>
      <c r="L5" s="66"/>
      <c r="M5" s="66"/>
      <c r="N5" s="67">
        <v>780627.3600000001</v>
      </c>
    </row>
    <row r="6" spans="1:14" ht="30" customHeight="1" x14ac:dyDescent="0.25">
      <c r="A6" s="68" t="s">
        <v>99</v>
      </c>
      <c r="B6" s="69">
        <v>-222370.83999999997</v>
      </c>
      <c r="C6" s="69">
        <v>-594953.96</v>
      </c>
      <c r="D6" s="69">
        <v>-179835.7</v>
      </c>
      <c r="E6" s="69"/>
      <c r="F6" s="69"/>
      <c r="G6" s="69"/>
      <c r="H6" s="69"/>
      <c r="I6" s="69"/>
      <c r="J6" s="69"/>
      <c r="K6" s="69"/>
      <c r="L6" s="69"/>
      <c r="M6" s="69"/>
      <c r="N6" s="70">
        <v>-997160.5</v>
      </c>
    </row>
    <row r="7" spans="1:14" ht="30" customHeight="1" x14ac:dyDescent="0.25">
      <c r="A7" s="68" t="s">
        <v>100</v>
      </c>
      <c r="B7" s="69">
        <v>-9432</v>
      </c>
      <c r="C7" s="69">
        <v>-4555</v>
      </c>
      <c r="D7" s="69">
        <v>-47357.8</v>
      </c>
      <c r="E7" s="69"/>
      <c r="F7" s="69"/>
      <c r="G7" s="69"/>
      <c r="H7" s="69"/>
      <c r="I7" s="69"/>
      <c r="J7" s="69"/>
      <c r="K7" s="69"/>
      <c r="L7" s="69"/>
      <c r="M7" s="69"/>
      <c r="N7" s="70">
        <v>-61344.800000000003</v>
      </c>
    </row>
    <row r="8" spans="1:14" ht="30" customHeight="1" x14ac:dyDescent="0.25">
      <c r="A8" s="71" t="s">
        <v>101</v>
      </c>
      <c r="B8" s="72">
        <v>-231802.83999999997</v>
      </c>
      <c r="C8" s="72">
        <v>-599508.96</v>
      </c>
      <c r="D8" s="72">
        <v>-227193.5</v>
      </c>
      <c r="E8" s="72"/>
      <c r="F8" s="72"/>
      <c r="G8" s="72"/>
      <c r="H8" s="72"/>
      <c r="I8" s="72"/>
      <c r="J8" s="72"/>
      <c r="K8" s="72"/>
      <c r="L8" s="72"/>
      <c r="M8" s="72"/>
      <c r="N8" s="73">
        <v>-1058505.2999999998</v>
      </c>
    </row>
    <row r="9" spans="1:14" ht="30" customHeight="1" x14ac:dyDescent="0.25">
      <c r="A9" s="74" t="s">
        <v>102</v>
      </c>
      <c r="B9" s="75">
        <v>-45839.309999999969</v>
      </c>
      <c r="C9" s="75">
        <v>-326203.80999999994</v>
      </c>
      <c r="D9" s="75">
        <v>94165.18</v>
      </c>
      <c r="E9" s="75"/>
      <c r="F9" s="75"/>
      <c r="G9" s="75"/>
      <c r="H9" s="75"/>
      <c r="I9" s="75"/>
      <c r="J9" s="75"/>
      <c r="K9" s="75"/>
      <c r="L9" s="75"/>
      <c r="M9" s="75"/>
      <c r="N9" s="75">
        <v>-277877.93999999989</v>
      </c>
    </row>
    <row r="12" spans="1:14" ht="32.25" customHeight="1" x14ac:dyDescent="0.25">
      <c r="A12" s="6" t="s">
        <v>103</v>
      </c>
    </row>
  </sheetData>
  <mergeCells count="1">
    <mergeCell ref="A1:N1"/>
  </mergeCells>
  <pageMargins left="0.75" right="0.75" top="1" bottom="1" header="0.5" footer="0.5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CFFA0-7457-4AC0-92C3-BA76DE6E02E9}">
  <sheetPr codeName="Hoja5">
    <tabColor theme="9" tint="0.59999389629810485"/>
  </sheetPr>
  <dimension ref="B1:Y20"/>
  <sheetViews>
    <sheetView workbookViewId="0">
      <selection activeCell="C8" sqref="C8"/>
    </sheetView>
  </sheetViews>
  <sheetFormatPr baseColWidth="10" defaultColWidth="8" defaultRowHeight="12.75" x14ac:dyDescent="0.2"/>
  <cols>
    <col min="1" max="1" width="3.25" style="78" customWidth="1"/>
    <col min="2" max="2" width="26.875" style="76" customWidth="1"/>
    <col min="3" max="5" width="9.375" style="77" customWidth="1"/>
    <col min="6" max="14" width="9.375" style="78" customWidth="1"/>
    <col min="15" max="15" width="13.75" style="78" customWidth="1"/>
    <col min="16" max="16384" width="8" style="78"/>
  </cols>
  <sheetData>
    <row r="1" spans="2:25" ht="27.75" customHeight="1" thickBot="1" x14ac:dyDescent="0.25">
      <c r="F1" s="253" t="s">
        <v>104</v>
      </c>
      <c r="G1" s="254"/>
      <c r="H1" s="254"/>
      <c r="I1" s="254"/>
      <c r="J1" s="255"/>
    </row>
    <row r="2" spans="2:25" ht="22.5" customHeight="1" thickBot="1" x14ac:dyDescent="0.25">
      <c r="B2" s="256" t="s">
        <v>105</v>
      </c>
      <c r="C2" s="257"/>
      <c r="D2" s="258" t="s">
        <v>106</v>
      </c>
      <c r="E2" s="259"/>
      <c r="F2" s="259"/>
      <c r="G2" s="259"/>
      <c r="H2" s="259"/>
      <c r="I2" s="259"/>
      <c r="J2" s="259"/>
      <c r="K2" s="259"/>
      <c r="L2" s="259"/>
      <c r="M2" s="259"/>
      <c r="N2" s="259"/>
      <c r="O2" s="259"/>
    </row>
    <row r="3" spans="2:25" ht="17.100000000000001" customHeight="1" thickBot="1" x14ac:dyDescent="0.25">
      <c r="E3" s="79"/>
    </row>
    <row r="4" spans="2:25" ht="30" customHeight="1" thickBot="1" x14ac:dyDescent="0.25">
      <c r="B4" s="80">
        <v>2022</v>
      </c>
      <c r="C4" s="81" t="s">
        <v>107</v>
      </c>
      <c r="D4" s="82" t="s">
        <v>108</v>
      </c>
      <c r="E4" s="83" t="s">
        <v>109</v>
      </c>
      <c r="F4" s="82" t="s">
        <v>110</v>
      </c>
      <c r="G4" s="83" t="s">
        <v>111</v>
      </c>
      <c r="H4" s="82" t="s">
        <v>112</v>
      </c>
      <c r="I4" s="83" t="s">
        <v>113</v>
      </c>
      <c r="J4" s="82" t="s">
        <v>114</v>
      </c>
      <c r="K4" s="83" t="s">
        <v>115</v>
      </c>
      <c r="L4" s="82" t="s">
        <v>116</v>
      </c>
      <c r="M4" s="83" t="s">
        <v>117</v>
      </c>
      <c r="N4" s="82" t="s">
        <v>118</v>
      </c>
      <c r="O4" s="84" t="s">
        <v>88</v>
      </c>
    </row>
    <row r="5" spans="2:25" ht="30" customHeight="1" thickBot="1" x14ac:dyDescent="0.25">
      <c r="B5" s="85" t="s">
        <v>119</v>
      </c>
      <c r="C5" s="86"/>
      <c r="D5" s="87"/>
      <c r="E5" s="88"/>
      <c r="F5" s="88"/>
      <c r="G5" s="87"/>
      <c r="H5" s="88"/>
      <c r="I5" s="88"/>
      <c r="J5" s="88"/>
      <c r="K5" s="88"/>
      <c r="L5" s="88"/>
      <c r="M5" s="88"/>
      <c r="N5" s="89"/>
      <c r="O5" s="90">
        <f>SUM(C5:N5)</f>
        <v>0</v>
      </c>
    </row>
    <row r="6" spans="2:25" ht="30" customHeight="1" thickBot="1" x14ac:dyDescent="0.25">
      <c r="B6" s="91" t="s">
        <v>120</v>
      </c>
      <c r="C6" s="92"/>
      <c r="D6" s="93"/>
      <c r="E6" s="94"/>
      <c r="F6" s="94"/>
      <c r="G6" s="93"/>
      <c r="H6" s="94"/>
      <c r="I6" s="94"/>
      <c r="J6" s="94"/>
      <c r="K6" s="94"/>
      <c r="L6" s="94"/>
      <c r="M6" s="94"/>
      <c r="N6" s="95"/>
      <c r="O6" s="96">
        <f>SUM(C6:N6)</f>
        <v>0</v>
      </c>
      <c r="P6" s="260"/>
      <c r="Q6" s="261"/>
      <c r="R6" s="261"/>
      <c r="S6" s="261"/>
      <c r="T6" s="261"/>
      <c r="U6" s="261"/>
      <c r="V6" s="261"/>
      <c r="W6" s="261"/>
      <c r="X6" s="261"/>
      <c r="Y6" s="261"/>
    </row>
    <row r="7" spans="2:25" ht="30" customHeight="1" thickBot="1" x14ac:dyDescent="0.25">
      <c r="B7" s="97"/>
      <c r="C7" s="98"/>
      <c r="D7" s="99"/>
      <c r="E7" s="100"/>
      <c r="F7" s="100"/>
      <c r="G7" s="99"/>
      <c r="H7" s="100"/>
      <c r="I7" s="100"/>
      <c r="J7" s="100"/>
      <c r="K7" s="100"/>
      <c r="L7" s="100"/>
      <c r="M7" s="100"/>
      <c r="N7" s="101"/>
      <c r="O7" s="102">
        <f t="shared" ref="O7:O9" si="0">SUM(C7:N7)</f>
        <v>0</v>
      </c>
      <c r="P7" s="262"/>
      <c r="Q7" s="263"/>
      <c r="R7" s="263"/>
      <c r="S7" s="263"/>
      <c r="T7" s="263"/>
      <c r="U7" s="263"/>
      <c r="V7" s="263"/>
    </row>
    <row r="8" spans="2:25" ht="30" customHeight="1" thickBot="1" x14ac:dyDescent="0.25">
      <c r="B8" s="103"/>
      <c r="C8" s="104"/>
      <c r="D8" s="105"/>
      <c r="E8" s="106"/>
      <c r="F8" s="106"/>
      <c r="G8" s="105"/>
      <c r="H8" s="106"/>
      <c r="I8" s="106"/>
      <c r="J8" s="106"/>
      <c r="K8" s="106"/>
      <c r="L8" s="106"/>
      <c r="M8" s="106"/>
      <c r="N8" s="107"/>
      <c r="O8" s="108">
        <f t="shared" si="0"/>
        <v>0</v>
      </c>
      <c r="P8" s="251"/>
      <c r="Q8" s="252"/>
      <c r="R8" s="252"/>
      <c r="S8" s="252"/>
      <c r="T8" s="252"/>
      <c r="U8" s="252"/>
      <c r="V8" s="252"/>
    </row>
    <row r="9" spans="2:25" ht="30" customHeight="1" thickBot="1" x14ac:dyDescent="0.25">
      <c r="B9" s="109"/>
      <c r="C9" s="104"/>
      <c r="D9" s="105"/>
      <c r="E9" s="106"/>
      <c r="F9" s="106"/>
      <c r="G9" s="105"/>
      <c r="H9" s="106"/>
      <c r="I9" s="106"/>
      <c r="J9" s="106"/>
      <c r="K9" s="106"/>
      <c r="L9" s="106"/>
      <c r="M9" s="106"/>
      <c r="N9" s="107"/>
      <c r="O9" s="108">
        <f t="shared" si="0"/>
        <v>0</v>
      </c>
      <c r="P9" s="251"/>
      <c r="Q9" s="252"/>
      <c r="R9" s="252"/>
      <c r="S9" s="252"/>
      <c r="T9" s="252"/>
      <c r="U9" s="252"/>
      <c r="V9" s="252"/>
    </row>
    <row r="10" spans="2:25" ht="30" customHeight="1" thickBot="1" x14ac:dyDescent="0.25">
      <c r="B10" s="110" t="s">
        <v>121</v>
      </c>
      <c r="C10" s="111">
        <f>SUM(C5:C9)</f>
        <v>0</v>
      </c>
      <c r="D10" s="112">
        <f t="shared" ref="D10:N10" si="1">SUM(D5:D9)</f>
        <v>0</v>
      </c>
      <c r="E10" s="111">
        <f t="shared" si="1"/>
        <v>0</v>
      </c>
      <c r="F10" s="111">
        <f t="shared" si="1"/>
        <v>0</v>
      </c>
      <c r="G10" s="112">
        <f t="shared" si="1"/>
        <v>0</v>
      </c>
      <c r="H10" s="111">
        <f t="shared" si="1"/>
        <v>0</v>
      </c>
      <c r="I10" s="111">
        <f t="shared" si="1"/>
        <v>0</v>
      </c>
      <c r="J10" s="111">
        <f t="shared" si="1"/>
        <v>0</v>
      </c>
      <c r="K10" s="111">
        <f t="shared" si="1"/>
        <v>0</v>
      </c>
      <c r="L10" s="111">
        <f t="shared" si="1"/>
        <v>0</v>
      </c>
      <c r="M10" s="111">
        <f t="shared" si="1"/>
        <v>0</v>
      </c>
      <c r="N10" s="111">
        <f t="shared" si="1"/>
        <v>0</v>
      </c>
      <c r="O10" s="113">
        <f>SUM(C10:N10)</f>
        <v>0</v>
      </c>
      <c r="P10" s="260"/>
      <c r="Q10" s="261"/>
      <c r="R10" s="261"/>
      <c r="S10" s="261"/>
      <c r="T10" s="261"/>
      <c r="U10" s="261"/>
      <c r="V10" s="261"/>
    </row>
    <row r="11" spans="2:25" ht="20.100000000000001" customHeight="1" x14ac:dyDescent="0.2"/>
    <row r="12" spans="2:25" ht="20.100000000000001" customHeight="1" x14ac:dyDescent="0.2">
      <c r="B12" s="265" t="s">
        <v>122</v>
      </c>
      <c r="C12" s="265"/>
      <c r="D12" s="265"/>
      <c r="E12" s="265"/>
      <c r="F12" s="265"/>
      <c r="G12" s="265"/>
      <c r="H12" s="265"/>
      <c r="I12" s="265"/>
      <c r="J12" s="265"/>
      <c r="K12" s="265"/>
      <c r="L12" s="265"/>
      <c r="M12" s="265"/>
      <c r="N12" s="265"/>
      <c r="O12" s="265"/>
    </row>
    <row r="13" spans="2:25" ht="20.100000000000001" customHeight="1" x14ac:dyDescent="0.2"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5"/>
    </row>
    <row r="14" spans="2:25" ht="20.100000000000001" customHeight="1" x14ac:dyDescent="0.2"/>
    <row r="15" spans="2:25" ht="20.100000000000001" customHeight="1" x14ac:dyDescent="0.2">
      <c r="B15" s="265" t="s">
        <v>123</v>
      </c>
      <c r="C15" s="265"/>
      <c r="D15" s="265"/>
      <c r="E15" s="265"/>
      <c r="F15" s="265"/>
      <c r="G15" s="265"/>
      <c r="H15" s="265"/>
      <c r="I15" s="265"/>
      <c r="J15" s="265"/>
      <c r="K15" s="265"/>
      <c r="L15" s="265"/>
      <c r="M15" s="265"/>
      <c r="N15" s="265"/>
      <c r="O15" s="265"/>
    </row>
    <row r="16" spans="2:25" ht="20.100000000000001" customHeight="1" x14ac:dyDescent="0.2">
      <c r="B16" s="114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</row>
    <row r="17" spans="2:15" ht="20.100000000000001" customHeight="1" x14ac:dyDescent="0.2">
      <c r="B17" s="115"/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</row>
    <row r="18" spans="2:15" ht="20.100000000000001" customHeight="1" x14ac:dyDescent="0.2">
      <c r="B18" s="260" t="s">
        <v>124</v>
      </c>
      <c r="C18" s="261"/>
      <c r="D18" s="261"/>
      <c r="E18" s="261"/>
      <c r="F18" s="261"/>
      <c r="G18" s="261"/>
      <c r="H18" s="261"/>
      <c r="I18" s="261"/>
      <c r="J18" s="261"/>
    </row>
    <row r="19" spans="2:15" ht="24.75" customHeight="1" x14ac:dyDescent="0.2">
      <c r="B19" s="266" t="s">
        <v>125</v>
      </c>
      <c r="C19" s="266"/>
      <c r="D19" s="266"/>
      <c r="E19" s="266"/>
      <c r="F19" s="266"/>
      <c r="G19" s="266"/>
      <c r="H19" s="266"/>
      <c r="I19" s="266"/>
      <c r="J19" s="266"/>
      <c r="K19" s="266"/>
      <c r="L19" s="266"/>
      <c r="M19" s="266"/>
      <c r="N19" s="266"/>
      <c r="O19" s="266"/>
    </row>
    <row r="20" spans="2:15" ht="36" customHeight="1" x14ac:dyDescent="0.2">
      <c r="B20" s="264" t="s">
        <v>126</v>
      </c>
      <c r="C20" s="264"/>
      <c r="D20" s="264"/>
      <c r="E20" s="264"/>
      <c r="F20" s="264"/>
      <c r="G20" s="264"/>
      <c r="H20" s="264"/>
      <c r="I20" s="264"/>
      <c r="J20" s="264"/>
      <c r="K20" s="264"/>
      <c r="L20" s="264"/>
      <c r="M20" s="264"/>
      <c r="N20" s="264"/>
      <c r="O20" s="264"/>
    </row>
  </sheetData>
  <mergeCells count="13">
    <mergeCell ref="B20:O20"/>
    <mergeCell ref="P9:V9"/>
    <mergeCell ref="P10:V10"/>
    <mergeCell ref="B12:O13"/>
    <mergeCell ref="B15:O15"/>
    <mergeCell ref="B18:J18"/>
    <mergeCell ref="B19:O19"/>
    <mergeCell ref="P8:V8"/>
    <mergeCell ref="F1:J1"/>
    <mergeCell ref="B2:C2"/>
    <mergeCell ref="D2:O2"/>
    <mergeCell ref="P6:Y6"/>
    <mergeCell ref="P7:V7"/>
  </mergeCells>
  <dataValidations count="1">
    <dataValidation type="decimal" allowBlank="1" showDropDown="1" sqref="C10:N10" xr:uid="{BAB4AB64-7FE8-4961-B160-CD7E0EFE867E}">
      <formula1>-1000000</formula1>
      <formula2>1000000</formula2>
    </dataValidation>
  </dataValidation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662F2-2F69-4FE9-A887-A25D363BD0D0}">
  <sheetPr codeName="Hoja6">
    <tabColor rgb="FF00B050"/>
  </sheetPr>
  <dimension ref="A1:K30"/>
  <sheetViews>
    <sheetView topLeftCell="A4" zoomScale="80" zoomScaleNormal="80" workbookViewId="0">
      <selection activeCell="E18" sqref="E18"/>
    </sheetView>
  </sheetViews>
  <sheetFormatPr baseColWidth="10" defaultColWidth="8" defaultRowHeight="15" x14ac:dyDescent="0.25"/>
  <cols>
    <col min="1" max="1" width="13.875" style="166" customWidth="1"/>
    <col min="2" max="2" width="17.5" style="166" customWidth="1"/>
    <col min="3" max="5" width="13.125" style="161" customWidth="1"/>
    <col min="6" max="6" width="43.75" style="179" customWidth="1"/>
    <col min="7" max="7" width="24.625" style="179" customWidth="1"/>
    <col min="8" max="9" width="13.125" style="179" customWidth="1"/>
    <col min="10" max="10" width="10.625" style="43" customWidth="1"/>
    <col min="11" max="11" width="12.625" style="43" customWidth="1"/>
    <col min="12" max="16384" width="8" style="6"/>
  </cols>
  <sheetData>
    <row r="1" spans="1:11" ht="30" customHeight="1" thickBot="1" x14ac:dyDescent="0.3">
      <c r="A1" s="170" t="s">
        <v>127</v>
      </c>
      <c r="B1" s="162" t="s">
        <v>128</v>
      </c>
      <c r="C1" s="167" t="s">
        <v>129</v>
      </c>
      <c r="D1" s="167" t="s">
        <v>130</v>
      </c>
      <c r="E1" s="167" t="s">
        <v>131</v>
      </c>
      <c r="F1" s="171" t="s">
        <v>132</v>
      </c>
      <c r="G1" s="171" t="s">
        <v>133</v>
      </c>
      <c r="H1" s="171" t="s">
        <v>134</v>
      </c>
      <c r="I1" s="171" t="s">
        <v>135</v>
      </c>
      <c r="J1" s="171" t="s">
        <v>136</v>
      </c>
      <c r="K1" s="172" t="s">
        <v>137</v>
      </c>
    </row>
    <row r="2" spans="1:11" ht="24.95" customHeight="1" x14ac:dyDescent="0.25">
      <c r="A2" s="163">
        <v>43832</v>
      </c>
      <c r="B2" s="163">
        <v>43864</v>
      </c>
      <c r="C2" s="168">
        <v>300000</v>
      </c>
      <c r="D2" s="168">
        <v>10257.530000000001</v>
      </c>
      <c r="E2" s="168">
        <v>310257.53000000003</v>
      </c>
      <c r="F2" s="173" t="s">
        <v>138</v>
      </c>
      <c r="G2" s="173" t="s">
        <v>139</v>
      </c>
      <c r="H2" s="173" t="s">
        <v>140</v>
      </c>
      <c r="I2" s="173" t="s">
        <v>141</v>
      </c>
      <c r="J2" s="174" t="s">
        <v>142</v>
      </c>
      <c r="K2" s="175">
        <v>874165</v>
      </c>
    </row>
    <row r="3" spans="1:11" ht="24.95" customHeight="1" x14ac:dyDescent="0.25">
      <c r="A3" s="164">
        <v>43881</v>
      </c>
      <c r="B3" s="164">
        <v>43915</v>
      </c>
      <c r="C3" s="19">
        <v>40000</v>
      </c>
      <c r="D3" s="19">
        <v>1117.81</v>
      </c>
      <c r="E3" s="19">
        <v>41117.81</v>
      </c>
      <c r="F3" s="176" t="s">
        <v>138</v>
      </c>
      <c r="G3" s="176" t="s">
        <v>139</v>
      </c>
      <c r="H3" s="176"/>
      <c r="I3" s="176" t="s">
        <v>141</v>
      </c>
      <c r="J3" s="17" t="s">
        <v>142</v>
      </c>
      <c r="K3" s="177">
        <v>879714</v>
      </c>
    </row>
    <row r="4" spans="1:11" ht="24.95" customHeight="1" x14ac:dyDescent="0.25">
      <c r="A4" s="164">
        <v>43879</v>
      </c>
      <c r="B4" s="164">
        <v>43909</v>
      </c>
      <c r="C4" s="19">
        <v>15000</v>
      </c>
      <c r="D4" s="19">
        <v>382.19</v>
      </c>
      <c r="E4" s="19">
        <v>15382.19</v>
      </c>
      <c r="F4" s="176" t="s">
        <v>138</v>
      </c>
      <c r="G4" s="176" t="s">
        <v>139</v>
      </c>
      <c r="H4" s="176"/>
      <c r="I4" s="176" t="s">
        <v>141</v>
      </c>
      <c r="J4" s="17" t="s">
        <v>142</v>
      </c>
      <c r="K4" s="177">
        <v>879454</v>
      </c>
    </row>
    <row r="5" spans="1:11" ht="24.95" customHeight="1" x14ac:dyDescent="0.25">
      <c r="A5" s="164">
        <v>43878</v>
      </c>
      <c r="B5" s="164">
        <v>43908</v>
      </c>
      <c r="C5" s="19">
        <v>250000</v>
      </c>
      <c r="D5" s="19">
        <v>6780.82</v>
      </c>
      <c r="E5" s="19">
        <v>256780.82</v>
      </c>
      <c r="F5" s="176" t="s">
        <v>138</v>
      </c>
      <c r="G5" s="176" t="s">
        <v>139</v>
      </c>
      <c r="H5" s="176"/>
      <c r="I5" s="176" t="s">
        <v>141</v>
      </c>
      <c r="J5" s="17" t="s">
        <v>142</v>
      </c>
      <c r="K5" s="177">
        <v>879360</v>
      </c>
    </row>
    <row r="6" spans="1:11" ht="24.95" customHeight="1" x14ac:dyDescent="0.25">
      <c r="A6" s="164">
        <v>43873</v>
      </c>
      <c r="B6" s="164">
        <v>43906</v>
      </c>
      <c r="C6" s="19">
        <v>200000</v>
      </c>
      <c r="D6" s="19">
        <v>6147.95</v>
      </c>
      <c r="E6" s="19">
        <v>206147.95</v>
      </c>
      <c r="F6" s="176" t="s">
        <v>138</v>
      </c>
      <c r="G6" s="176" t="s">
        <v>139</v>
      </c>
      <c r="H6" s="176"/>
      <c r="I6" s="176" t="s">
        <v>141</v>
      </c>
      <c r="J6" s="17" t="s">
        <v>142</v>
      </c>
      <c r="K6" s="177">
        <v>878897</v>
      </c>
    </row>
    <row r="7" spans="1:11" ht="24.95" customHeight="1" x14ac:dyDescent="0.25">
      <c r="A7" s="164">
        <v>43873</v>
      </c>
      <c r="B7" s="164">
        <v>44183</v>
      </c>
      <c r="C7" s="19">
        <v>10000</v>
      </c>
      <c r="D7" s="19">
        <v>2717.81</v>
      </c>
      <c r="E7" s="19">
        <v>12717.81</v>
      </c>
      <c r="F7" s="176" t="s">
        <v>138</v>
      </c>
      <c r="G7" s="176" t="s">
        <v>139</v>
      </c>
      <c r="H7" s="176"/>
      <c r="I7" s="176" t="s">
        <v>141</v>
      </c>
      <c r="J7" s="17" t="s">
        <v>142</v>
      </c>
      <c r="K7" s="177">
        <v>878859</v>
      </c>
    </row>
    <row r="8" spans="1:11" ht="24.95" customHeight="1" x14ac:dyDescent="0.25">
      <c r="A8" s="164">
        <v>43910</v>
      </c>
      <c r="B8" s="164">
        <v>43941</v>
      </c>
      <c r="C8" s="19">
        <v>900000</v>
      </c>
      <c r="D8" s="19">
        <v>21402.74</v>
      </c>
      <c r="E8" s="19">
        <v>921402.74</v>
      </c>
      <c r="F8" s="176" t="s">
        <v>138</v>
      </c>
      <c r="G8" s="176" t="s">
        <v>139</v>
      </c>
      <c r="H8" s="176"/>
      <c r="I8" s="176" t="s">
        <v>141</v>
      </c>
      <c r="J8" s="17" t="s">
        <v>142</v>
      </c>
      <c r="K8" s="177">
        <v>882731</v>
      </c>
    </row>
    <row r="9" spans="1:11" ht="24.95" customHeight="1" x14ac:dyDescent="0.25">
      <c r="A9" s="164">
        <v>43942</v>
      </c>
      <c r="B9" s="164">
        <v>44032</v>
      </c>
      <c r="C9" s="19">
        <v>900000</v>
      </c>
      <c r="D9" s="19">
        <v>56242.22</v>
      </c>
      <c r="E9" s="19">
        <v>956242.22</v>
      </c>
      <c r="F9" s="176" t="s">
        <v>138</v>
      </c>
      <c r="G9" s="176" t="s">
        <v>139</v>
      </c>
      <c r="H9" s="176"/>
      <c r="I9" s="176" t="s">
        <v>141</v>
      </c>
      <c r="J9" s="17" t="s">
        <v>142</v>
      </c>
      <c r="K9" s="177">
        <v>886186</v>
      </c>
    </row>
    <row r="10" spans="1:11" ht="24.95" customHeight="1" x14ac:dyDescent="0.25">
      <c r="A10" s="164">
        <v>44033</v>
      </c>
      <c r="B10" s="164">
        <v>44124</v>
      </c>
      <c r="C10" s="19">
        <v>800000</v>
      </c>
      <c r="D10" s="19">
        <v>57716.58</v>
      </c>
      <c r="E10" s="19">
        <v>857716.58</v>
      </c>
      <c r="F10" s="176" t="s">
        <v>138</v>
      </c>
      <c r="G10" s="176" t="s">
        <v>139</v>
      </c>
      <c r="H10" s="176"/>
      <c r="I10" s="176" t="s">
        <v>141</v>
      </c>
      <c r="J10" s="17" t="s">
        <v>142</v>
      </c>
      <c r="K10" s="177">
        <v>897609</v>
      </c>
    </row>
    <row r="11" spans="1:11" ht="24.95" customHeight="1" x14ac:dyDescent="0.25">
      <c r="A11" s="164">
        <v>44126</v>
      </c>
      <c r="B11" s="164">
        <v>44159</v>
      </c>
      <c r="C11" s="19">
        <v>800000</v>
      </c>
      <c r="D11" s="19">
        <v>24591.78</v>
      </c>
      <c r="E11" s="19">
        <v>824591.78</v>
      </c>
      <c r="F11" s="176" t="s">
        <v>138</v>
      </c>
      <c r="G11" s="176" t="s">
        <v>139</v>
      </c>
      <c r="H11" s="176" t="s">
        <v>143</v>
      </c>
      <c r="I11" s="176" t="s">
        <v>141</v>
      </c>
      <c r="J11" s="17" t="s">
        <v>142</v>
      </c>
      <c r="K11" s="177">
        <v>911190</v>
      </c>
    </row>
    <row r="12" spans="1:11" ht="24.95" customHeight="1" x14ac:dyDescent="0.25">
      <c r="A12" s="164">
        <v>44165</v>
      </c>
      <c r="B12" s="164">
        <v>44256</v>
      </c>
      <c r="C12" s="19">
        <v>600000</v>
      </c>
      <c r="D12" s="19">
        <v>70443.600000000006</v>
      </c>
      <c r="E12" s="19">
        <v>670443.6</v>
      </c>
      <c r="F12" s="176" t="s">
        <v>138</v>
      </c>
      <c r="G12" s="176" t="s">
        <v>139</v>
      </c>
      <c r="H12" s="176" t="s">
        <v>143</v>
      </c>
      <c r="I12" s="176" t="s">
        <v>141</v>
      </c>
      <c r="J12" s="17" t="s">
        <v>142</v>
      </c>
      <c r="K12" s="177">
        <v>916402</v>
      </c>
    </row>
    <row r="13" spans="1:11" ht="24.95" customHeight="1" x14ac:dyDescent="0.25">
      <c r="A13" s="164">
        <v>44195</v>
      </c>
      <c r="B13" s="164">
        <v>44285</v>
      </c>
      <c r="C13" s="19">
        <v>10000</v>
      </c>
      <c r="D13" s="19">
        <v>912.33</v>
      </c>
      <c r="E13" s="19">
        <v>10912.33</v>
      </c>
      <c r="F13" s="176" t="s">
        <v>138</v>
      </c>
      <c r="G13" s="176" t="s">
        <v>139</v>
      </c>
      <c r="H13" s="176" t="s">
        <v>143</v>
      </c>
      <c r="I13" s="176" t="s">
        <v>141</v>
      </c>
      <c r="J13" s="17" t="s">
        <v>142</v>
      </c>
      <c r="K13" s="177">
        <v>920803</v>
      </c>
    </row>
    <row r="14" spans="1:11" ht="24.95" customHeight="1" x14ac:dyDescent="0.25">
      <c r="A14" s="164">
        <v>44263</v>
      </c>
      <c r="B14" s="164">
        <v>44354</v>
      </c>
      <c r="C14" s="19">
        <v>700000</v>
      </c>
      <c r="D14" s="19">
        <v>92935.85</v>
      </c>
      <c r="E14" s="19">
        <v>792935.85</v>
      </c>
      <c r="F14" s="176" t="s">
        <v>138</v>
      </c>
      <c r="G14" s="176" t="s">
        <v>139</v>
      </c>
      <c r="H14" s="176" t="s">
        <v>143</v>
      </c>
      <c r="I14" s="176" t="s">
        <v>141</v>
      </c>
      <c r="J14" s="17" t="s">
        <v>142</v>
      </c>
      <c r="K14" s="177">
        <v>930625</v>
      </c>
    </row>
    <row r="15" spans="1:11" ht="24.95" customHeight="1" x14ac:dyDescent="0.25">
      <c r="A15" s="164">
        <v>44358</v>
      </c>
      <c r="B15" s="164">
        <v>44412</v>
      </c>
      <c r="C15" s="19">
        <v>700000</v>
      </c>
      <c r="D15" s="19">
        <v>33444.080000000002</v>
      </c>
      <c r="E15" s="19">
        <v>733444.08</v>
      </c>
      <c r="F15" s="176" t="s">
        <v>138</v>
      </c>
      <c r="G15" s="176" t="s">
        <v>139</v>
      </c>
      <c r="H15" s="176" t="s">
        <v>143</v>
      </c>
      <c r="I15" s="176" t="s">
        <v>141</v>
      </c>
      <c r="J15" s="17" t="s">
        <v>142</v>
      </c>
      <c r="K15" s="177">
        <v>945417</v>
      </c>
    </row>
    <row r="16" spans="1:11" ht="24.95" customHeight="1" x14ac:dyDescent="0.25">
      <c r="A16" s="164">
        <v>44414</v>
      </c>
      <c r="B16" s="164">
        <v>44476</v>
      </c>
      <c r="C16" s="19">
        <v>400000</v>
      </c>
      <c r="D16" s="19">
        <v>21920.04</v>
      </c>
      <c r="E16" s="19">
        <v>421920.04</v>
      </c>
      <c r="F16" s="176" t="s">
        <v>138</v>
      </c>
      <c r="G16" s="176" t="s">
        <v>139</v>
      </c>
      <c r="H16" s="176" t="s">
        <v>143</v>
      </c>
      <c r="I16" s="176" t="s">
        <v>141</v>
      </c>
      <c r="J16" s="17" t="s">
        <v>142</v>
      </c>
      <c r="K16" s="177">
        <v>955110</v>
      </c>
    </row>
    <row r="17" spans="1:11" ht="24.95" customHeight="1" x14ac:dyDescent="0.25">
      <c r="A17" s="164">
        <v>44476</v>
      </c>
      <c r="B17" s="164">
        <v>44509</v>
      </c>
      <c r="C17" s="19">
        <v>300000</v>
      </c>
      <c r="D17" s="19">
        <v>8530.2000000000007</v>
      </c>
      <c r="E17" s="19">
        <v>308530.2</v>
      </c>
      <c r="F17" s="176" t="s">
        <v>138</v>
      </c>
      <c r="G17" s="176" t="s">
        <v>139</v>
      </c>
      <c r="H17" s="176" t="s">
        <v>143</v>
      </c>
      <c r="I17" s="176" t="s">
        <v>141</v>
      </c>
      <c r="J17" s="17" t="s">
        <v>142</v>
      </c>
      <c r="K17" s="177">
        <v>965360</v>
      </c>
    </row>
    <row r="18" spans="1:11" ht="24.95" customHeight="1" x14ac:dyDescent="0.25">
      <c r="A18" s="164">
        <v>44510</v>
      </c>
      <c r="B18" s="164">
        <v>44600</v>
      </c>
      <c r="C18" s="19">
        <v>250000</v>
      </c>
      <c r="D18" s="19">
        <v>25767.53</v>
      </c>
      <c r="E18" s="19">
        <v>275767.53000000003</v>
      </c>
      <c r="F18" s="176" t="s">
        <v>138</v>
      </c>
      <c r="G18" s="176" t="s">
        <v>139</v>
      </c>
      <c r="H18" s="176" t="s">
        <v>143</v>
      </c>
      <c r="I18" s="176" t="s">
        <v>141</v>
      </c>
      <c r="J18" s="17" t="s">
        <v>142</v>
      </c>
      <c r="K18" s="177" t="s">
        <v>337</v>
      </c>
    </row>
    <row r="19" spans="1:11" ht="30" customHeight="1" x14ac:dyDescent="0.25">
      <c r="A19" s="165"/>
      <c r="B19" s="165"/>
      <c r="C19" s="169"/>
      <c r="D19" s="169"/>
      <c r="E19" s="169"/>
      <c r="F19" s="178"/>
      <c r="G19" s="178"/>
      <c r="H19" s="178"/>
      <c r="I19" s="178"/>
    </row>
    <row r="20" spans="1:11" ht="30" customHeight="1" x14ac:dyDescent="0.25"/>
    <row r="21" spans="1:11" ht="30" customHeight="1" x14ac:dyDescent="0.25"/>
    <row r="22" spans="1:11" ht="30" customHeight="1" x14ac:dyDescent="0.25"/>
    <row r="23" spans="1:11" ht="30" customHeight="1" x14ac:dyDescent="0.25"/>
    <row r="24" spans="1:11" ht="30" customHeight="1" x14ac:dyDescent="0.25"/>
    <row r="25" spans="1:11" ht="30" customHeight="1" x14ac:dyDescent="0.25"/>
    <row r="26" spans="1:11" ht="30" customHeight="1" x14ac:dyDescent="0.25"/>
    <row r="27" spans="1:11" ht="30" customHeight="1" x14ac:dyDescent="0.25"/>
    <row r="28" spans="1:11" ht="30" customHeight="1" x14ac:dyDescent="0.25"/>
    <row r="29" spans="1:11" ht="30" customHeight="1" x14ac:dyDescent="0.25"/>
    <row r="30" spans="1:11" ht="30" customHeight="1" x14ac:dyDescent="0.25"/>
  </sheetData>
  <pageMargins left="0.75" right="0.75" top="1" bottom="1" header="0.5" footer="0.5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711EC-A0C7-41B7-8047-5EF2AA67D3A0}">
  <sheetPr codeName="Hoja7">
    <tabColor rgb="FF92D050"/>
  </sheetPr>
  <dimension ref="A1:F36"/>
  <sheetViews>
    <sheetView topLeftCell="A22" zoomScale="90" zoomScaleNormal="90" workbookViewId="0">
      <selection activeCell="F38" sqref="F38"/>
    </sheetView>
  </sheetViews>
  <sheetFormatPr baseColWidth="10" defaultColWidth="8" defaultRowHeight="15" x14ac:dyDescent="0.25"/>
  <cols>
    <col min="1" max="1" width="13.125" style="159" customWidth="1"/>
    <col min="2" max="2" width="13.125" style="188" customWidth="1"/>
    <col min="3" max="5" width="13.125" style="161" customWidth="1"/>
    <col min="6" max="6" width="105" style="179" customWidth="1"/>
    <col min="7" max="16384" width="8" style="6"/>
  </cols>
  <sheetData>
    <row r="1" spans="1:6" ht="30" customHeight="1" x14ac:dyDescent="0.25">
      <c r="A1" s="180" t="s">
        <v>144</v>
      </c>
      <c r="B1" s="186" t="s">
        <v>145</v>
      </c>
      <c r="C1" s="181" t="s">
        <v>146</v>
      </c>
      <c r="D1" s="181" t="s">
        <v>147</v>
      </c>
      <c r="E1" s="181" t="s">
        <v>148</v>
      </c>
      <c r="F1" s="193" t="s">
        <v>134</v>
      </c>
    </row>
    <row r="2" spans="1:6" ht="20.100000000000001" customHeight="1" x14ac:dyDescent="0.25">
      <c r="A2" s="184">
        <v>43286</v>
      </c>
      <c r="B2" s="17" t="s">
        <v>149</v>
      </c>
      <c r="C2" s="19">
        <v>13000</v>
      </c>
      <c r="D2" s="19">
        <v>0</v>
      </c>
      <c r="E2" s="19">
        <v>13000</v>
      </c>
      <c r="F2" s="194" t="s">
        <v>150</v>
      </c>
    </row>
    <row r="3" spans="1:6" ht="20.100000000000001" customHeight="1" x14ac:dyDescent="0.25">
      <c r="A3" s="184">
        <v>43438</v>
      </c>
      <c r="B3" s="17" t="s">
        <v>151</v>
      </c>
      <c r="C3" s="19">
        <v>0</v>
      </c>
      <c r="D3" s="19">
        <v>-1000</v>
      </c>
      <c r="E3" s="19">
        <v>12000</v>
      </c>
      <c r="F3" s="194" t="s">
        <v>152</v>
      </c>
    </row>
    <row r="4" spans="1:6" ht="20.100000000000001" customHeight="1" x14ac:dyDescent="0.25">
      <c r="A4" s="184">
        <v>43476</v>
      </c>
      <c r="B4" s="17" t="s">
        <v>149</v>
      </c>
      <c r="C4" s="19">
        <v>100</v>
      </c>
      <c r="D4" s="19">
        <v>0</v>
      </c>
      <c r="E4" s="19">
        <v>12100</v>
      </c>
      <c r="F4" s="194" t="s">
        <v>153</v>
      </c>
    </row>
    <row r="5" spans="1:6" ht="20.100000000000001" customHeight="1" x14ac:dyDescent="0.25">
      <c r="A5" s="184">
        <v>43552</v>
      </c>
      <c r="B5" s="17" t="s">
        <v>154</v>
      </c>
      <c r="C5" s="19">
        <v>8.2899999999999991</v>
      </c>
      <c r="D5" s="19">
        <v>0</v>
      </c>
      <c r="E5" s="19">
        <v>12108.29</v>
      </c>
      <c r="F5" s="194"/>
    </row>
    <row r="6" spans="1:6" ht="20.100000000000001" customHeight="1" x14ac:dyDescent="0.25">
      <c r="A6" s="184">
        <v>43563</v>
      </c>
      <c r="B6" s="17" t="s">
        <v>151</v>
      </c>
      <c r="C6" s="19">
        <v>0</v>
      </c>
      <c r="D6" s="19">
        <v>-4639.32</v>
      </c>
      <c r="E6" s="19">
        <v>7468.97</v>
      </c>
      <c r="F6" s="194" t="s">
        <v>155</v>
      </c>
    </row>
    <row r="7" spans="1:6" ht="20.100000000000001" customHeight="1" x14ac:dyDescent="0.25">
      <c r="A7" s="184">
        <v>43676</v>
      </c>
      <c r="B7" s="17" t="s">
        <v>154</v>
      </c>
      <c r="C7" s="19">
        <v>3.6</v>
      </c>
      <c r="D7" s="19">
        <v>0</v>
      </c>
      <c r="E7" s="19">
        <v>7472.57</v>
      </c>
      <c r="F7" s="194"/>
    </row>
    <row r="8" spans="1:6" ht="20.100000000000001" customHeight="1" x14ac:dyDescent="0.25">
      <c r="A8" s="184">
        <v>43697</v>
      </c>
      <c r="B8" s="17" t="s">
        <v>156</v>
      </c>
      <c r="C8" s="19">
        <v>0</v>
      </c>
      <c r="D8" s="19">
        <v>-7450</v>
      </c>
      <c r="E8" s="19">
        <v>22.57</v>
      </c>
      <c r="F8" s="194" t="s">
        <v>157</v>
      </c>
    </row>
    <row r="9" spans="1:6" ht="20.100000000000001" customHeight="1" x14ac:dyDescent="0.25">
      <c r="A9" s="184">
        <v>43797</v>
      </c>
      <c r="B9" s="17" t="s">
        <v>149</v>
      </c>
      <c r="C9" s="19">
        <v>1.59</v>
      </c>
      <c r="D9" s="19">
        <v>0</v>
      </c>
      <c r="E9" s="19">
        <v>24.16</v>
      </c>
      <c r="F9" s="194" t="s">
        <v>158</v>
      </c>
    </row>
    <row r="10" spans="1:6" ht="20.100000000000001" customHeight="1" x14ac:dyDescent="0.25">
      <c r="A10" s="184">
        <v>43798</v>
      </c>
      <c r="B10" s="17" t="s">
        <v>149</v>
      </c>
      <c r="C10" s="19">
        <v>98</v>
      </c>
      <c r="D10" s="19">
        <v>0</v>
      </c>
      <c r="E10" s="19">
        <v>122.16</v>
      </c>
      <c r="F10" s="194" t="s">
        <v>159</v>
      </c>
    </row>
    <row r="11" spans="1:6" ht="20.100000000000001" customHeight="1" x14ac:dyDescent="0.25">
      <c r="A11" s="184">
        <v>44039</v>
      </c>
      <c r="B11" s="17" t="s">
        <v>149</v>
      </c>
      <c r="C11" s="19">
        <v>200</v>
      </c>
      <c r="D11" s="19">
        <v>0</v>
      </c>
      <c r="E11" s="19">
        <v>322.16000000000003</v>
      </c>
      <c r="F11" s="194" t="s">
        <v>160</v>
      </c>
    </row>
    <row r="12" spans="1:6" ht="20.100000000000001" customHeight="1" x14ac:dyDescent="0.25">
      <c r="A12" s="184">
        <v>44063</v>
      </c>
      <c r="B12" s="17" t="s">
        <v>149</v>
      </c>
      <c r="C12" s="19">
        <v>200</v>
      </c>
      <c r="D12" s="19">
        <v>0</v>
      </c>
      <c r="E12" s="19">
        <v>522.16</v>
      </c>
      <c r="F12" s="194" t="s">
        <v>160</v>
      </c>
    </row>
    <row r="13" spans="1:6" ht="20.100000000000001" customHeight="1" x14ac:dyDescent="0.25">
      <c r="A13" s="184">
        <v>44076</v>
      </c>
      <c r="B13" s="17" t="s">
        <v>161</v>
      </c>
      <c r="C13" s="19">
        <v>200</v>
      </c>
      <c r="D13" s="19">
        <v>0</v>
      </c>
      <c r="E13" s="19">
        <v>722.16</v>
      </c>
      <c r="F13" s="194" t="s">
        <v>162</v>
      </c>
    </row>
    <row r="14" spans="1:6" ht="20.100000000000001" customHeight="1" x14ac:dyDescent="0.25">
      <c r="A14" s="184">
        <v>44075</v>
      </c>
      <c r="B14" s="17" t="s">
        <v>161</v>
      </c>
      <c r="C14" s="19">
        <v>0.03</v>
      </c>
      <c r="D14" s="19">
        <v>0</v>
      </c>
      <c r="E14" s="19">
        <v>722.19</v>
      </c>
      <c r="F14" s="194" t="s">
        <v>163</v>
      </c>
    </row>
    <row r="15" spans="1:6" ht="20.100000000000001" customHeight="1" x14ac:dyDescent="0.25">
      <c r="A15" s="184">
        <v>44105</v>
      </c>
      <c r="B15" s="17" t="s">
        <v>161</v>
      </c>
      <c r="C15" s="19">
        <v>0.06</v>
      </c>
      <c r="D15" s="19">
        <v>0</v>
      </c>
      <c r="E15" s="19">
        <v>722.22</v>
      </c>
      <c r="F15" s="194" t="s">
        <v>163</v>
      </c>
    </row>
    <row r="16" spans="1:6" ht="20.100000000000001" customHeight="1" x14ac:dyDescent="0.25">
      <c r="A16" s="184">
        <v>44136</v>
      </c>
      <c r="B16" s="17" t="s">
        <v>161</v>
      </c>
      <c r="C16" s="19">
        <v>0.06</v>
      </c>
      <c r="D16" s="19">
        <v>0</v>
      </c>
      <c r="E16" s="19">
        <v>722.28</v>
      </c>
      <c r="F16" s="194" t="s">
        <v>163</v>
      </c>
    </row>
    <row r="17" spans="1:6" ht="20.100000000000001" customHeight="1" x14ac:dyDescent="0.25">
      <c r="A17" s="184">
        <v>44166</v>
      </c>
      <c r="B17" s="17" t="s">
        <v>161</v>
      </c>
      <c r="C17" s="19">
        <v>0.06</v>
      </c>
      <c r="D17" s="19">
        <v>0</v>
      </c>
      <c r="E17" s="19">
        <v>722.34</v>
      </c>
      <c r="F17" s="194" t="s">
        <v>163</v>
      </c>
    </row>
    <row r="18" spans="1:6" ht="20.100000000000001" customHeight="1" x14ac:dyDescent="0.25">
      <c r="A18" s="184">
        <v>44197</v>
      </c>
      <c r="B18" s="17" t="s">
        <v>161</v>
      </c>
      <c r="C18" s="19">
        <v>0.06</v>
      </c>
      <c r="D18" s="19">
        <v>0</v>
      </c>
      <c r="E18" s="19">
        <v>722.4</v>
      </c>
      <c r="F18" s="194" t="s">
        <v>163</v>
      </c>
    </row>
    <row r="19" spans="1:6" ht="20.100000000000001" customHeight="1" x14ac:dyDescent="0.25">
      <c r="A19" s="184">
        <v>44228</v>
      </c>
      <c r="B19" s="17" t="s">
        <v>161</v>
      </c>
      <c r="C19" s="19">
        <v>0.06</v>
      </c>
      <c r="D19" s="19">
        <v>0</v>
      </c>
      <c r="E19" s="19">
        <v>722.46</v>
      </c>
      <c r="F19" s="194" t="s">
        <v>163</v>
      </c>
    </row>
    <row r="20" spans="1:6" ht="20.100000000000001" customHeight="1" x14ac:dyDescent="0.25">
      <c r="A20" s="197">
        <v>44256</v>
      </c>
      <c r="B20" s="200" t="s">
        <v>161</v>
      </c>
      <c r="C20" s="160">
        <v>0.06</v>
      </c>
      <c r="D20" s="160">
        <v>0</v>
      </c>
      <c r="E20" s="160">
        <v>722.52</v>
      </c>
      <c r="F20" s="202" t="s">
        <v>163</v>
      </c>
    </row>
    <row r="21" spans="1:6" ht="20.100000000000001" customHeight="1" x14ac:dyDescent="0.25">
      <c r="A21" s="197">
        <v>44306</v>
      </c>
      <c r="B21" s="200" t="s">
        <v>161</v>
      </c>
      <c r="C21" s="160">
        <v>200</v>
      </c>
      <c r="D21" s="160">
        <v>0</v>
      </c>
      <c r="E21" s="160">
        <v>922.52</v>
      </c>
      <c r="F21" s="202" t="s">
        <v>162</v>
      </c>
    </row>
    <row r="22" spans="1:6" ht="20.100000000000001" customHeight="1" x14ac:dyDescent="0.25">
      <c r="A22" s="197">
        <v>44287</v>
      </c>
      <c r="B22" s="200" t="s">
        <v>161</v>
      </c>
      <c r="C22" s="160">
        <v>0.06</v>
      </c>
      <c r="D22" s="160">
        <v>0</v>
      </c>
      <c r="E22" s="160">
        <v>922.58</v>
      </c>
      <c r="F22" s="202" t="s">
        <v>163</v>
      </c>
    </row>
    <row r="23" spans="1:6" ht="20.100000000000001" customHeight="1" x14ac:dyDescent="0.25">
      <c r="A23" s="197">
        <v>44322</v>
      </c>
      <c r="B23" s="200" t="s">
        <v>161</v>
      </c>
      <c r="C23" s="160">
        <v>200</v>
      </c>
      <c r="D23" s="160">
        <v>0</v>
      </c>
      <c r="E23" s="160">
        <v>1122.52</v>
      </c>
      <c r="F23" s="202" t="s">
        <v>162</v>
      </c>
    </row>
    <row r="24" spans="1:6" ht="20.100000000000001" customHeight="1" x14ac:dyDescent="0.25">
      <c r="A24" s="197">
        <v>44317</v>
      </c>
      <c r="B24" s="200" t="s">
        <v>161</v>
      </c>
      <c r="C24" s="160">
        <v>7.0000000000000007E-2</v>
      </c>
      <c r="D24" s="160">
        <v>0</v>
      </c>
      <c r="E24" s="160">
        <v>1122.5899999999999</v>
      </c>
      <c r="F24" s="202" t="s">
        <v>163</v>
      </c>
    </row>
    <row r="25" spans="1:6" ht="20.100000000000001" customHeight="1" x14ac:dyDescent="0.25">
      <c r="A25" s="197">
        <v>44348</v>
      </c>
      <c r="B25" s="200" t="s">
        <v>161</v>
      </c>
      <c r="C25" s="160">
        <v>0.09</v>
      </c>
      <c r="D25" s="160">
        <v>0</v>
      </c>
      <c r="E25" s="160">
        <v>1122.6099999999999</v>
      </c>
      <c r="F25" s="202" t="s">
        <v>163</v>
      </c>
    </row>
    <row r="26" spans="1:6" ht="20.100000000000001" customHeight="1" x14ac:dyDescent="0.25">
      <c r="A26" s="197">
        <v>44378</v>
      </c>
      <c r="B26" s="200" t="s">
        <v>161</v>
      </c>
      <c r="C26" s="160">
        <v>0.09</v>
      </c>
      <c r="D26" s="160">
        <v>0</v>
      </c>
      <c r="E26" s="160">
        <v>1122.7</v>
      </c>
      <c r="F26" s="202" t="s">
        <v>163</v>
      </c>
    </row>
    <row r="27" spans="1:6" ht="20.100000000000001" customHeight="1" x14ac:dyDescent="0.25">
      <c r="A27" s="197">
        <v>44409</v>
      </c>
      <c r="B27" s="200" t="s">
        <v>161</v>
      </c>
      <c r="C27" s="160">
        <v>0.1</v>
      </c>
      <c r="D27" s="160">
        <v>0</v>
      </c>
      <c r="E27" s="160">
        <v>1122.8</v>
      </c>
      <c r="F27" s="202" t="s">
        <v>163</v>
      </c>
    </row>
    <row r="28" spans="1:6" ht="20.100000000000001" customHeight="1" x14ac:dyDescent="0.25">
      <c r="A28" s="197">
        <v>44440</v>
      </c>
      <c r="B28" s="200" t="s">
        <v>161</v>
      </c>
      <c r="C28" s="160">
        <v>0.1</v>
      </c>
      <c r="D28" s="160">
        <v>0</v>
      </c>
      <c r="E28" s="160">
        <v>1122.9000000000001</v>
      </c>
      <c r="F28" s="202" t="s">
        <v>163</v>
      </c>
    </row>
    <row r="29" spans="1:6" ht="20.100000000000001" customHeight="1" x14ac:dyDescent="0.25">
      <c r="A29" s="197">
        <v>44470</v>
      </c>
      <c r="B29" s="200" t="s">
        <v>161</v>
      </c>
      <c r="C29" s="160">
        <v>0.09</v>
      </c>
      <c r="D29" s="160">
        <v>0</v>
      </c>
      <c r="E29" s="160">
        <v>1122.99</v>
      </c>
      <c r="F29" s="202" t="s">
        <v>163</v>
      </c>
    </row>
    <row r="30" spans="1:6" ht="20.100000000000001" customHeight="1" x14ac:dyDescent="0.25">
      <c r="A30" s="197">
        <v>44501</v>
      </c>
      <c r="B30" s="200" t="s">
        <v>161</v>
      </c>
      <c r="C30" s="160">
        <v>0.1</v>
      </c>
      <c r="D30" s="160">
        <v>0</v>
      </c>
      <c r="E30" s="160">
        <v>1123.0899999999999</v>
      </c>
      <c r="F30" s="202" t="s">
        <v>163</v>
      </c>
    </row>
    <row r="31" spans="1:6" ht="20.100000000000001" customHeight="1" x14ac:dyDescent="0.25">
      <c r="A31" s="197">
        <v>44531</v>
      </c>
      <c r="B31" s="200" t="s">
        <v>161</v>
      </c>
      <c r="C31" s="160">
        <v>0.09</v>
      </c>
      <c r="D31" s="160">
        <v>0</v>
      </c>
      <c r="E31" s="160">
        <v>1123.18</v>
      </c>
      <c r="F31" s="202" t="s">
        <v>163</v>
      </c>
    </row>
    <row r="32" spans="1:6" ht="20.100000000000001" customHeight="1" x14ac:dyDescent="0.25">
      <c r="A32" s="197">
        <v>44574</v>
      </c>
      <c r="B32" s="200" t="s">
        <v>161</v>
      </c>
      <c r="C32" s="160">
        <v>100</v>
      </c>
      <c r="D32" s="160">
        <v>0</v>
      </c>
      <c r="E32" s="160">
        <v>1223.18</v>
      </c>
      <c r="F32" s="206" t="s">
        <v>336</v>
      </c>
    </row>
    <row r="33" spans="1:6" ht="20.100000000000001" customHeight="1" x14ac:dyDescent="0.25">
      <c r="A33" s="197">
        <v>44562</v>
      </c>
      <c r="B33" s="200" t="s">
        <v>161</v>
      </c>
      <c r="C33" s="160">
        <v>0.1</v>
      </c>
      <c r="D33" s="160">
        <v>0</v>
      </c>
      <c r="E33" s="160">
        <v>1223.28</v>
      </c>
      <c r="F33" s="202" t="s">
        <v>163</v>
      </c>
    </row>
    <row r="34" spans="1:6" ht="20.100000000000001" customHeight="1" x14ac:dyDescent="0.25">
      <c r="A34" s="197">
        <v>44594</v>
      </c>
      <c r="B34" s="200" t="s">
        <v>161</v>
      </c>
      <c r="C34" s="160">
        <v>100</v>
      </c>
      <c r="D34" s="160">
        <v>0</v>
      </c>
      <c r="E34" s="160">
        <v>1323.18</v>
      </c>
      <c r="F34" s="206" t="s">
        <v>335</v>
      </c>
    </row>
    <row r="35" spans="1:6" ht="20.100000000000001" customHeight="1" x14ac:dyDescent="0.25">
      <c r="A35" s="198">
        <v>44593</v>
      </c>
      <c r="B35" s="201" t="s">
        <v>161</v>
      </c>
      <c r="C35" s="182">
        <v>0.1</v>
      </c>
      <c r="D35" s="182">
        <v>0</v>
      </c>
      <c r="E35" s="182">
        <v>1323.28</v>
      </c>
      <c r="F35" s="203" t="s">
        <v>163</v>
      </c>
    </row>
    <row r="36" spans="1:6" x14ac:dyDescent="0.25">
      <c r="A36" s="199">
        <v>44623</v>
      </c>
      <c r="B36" s="204" t="s">
        <v>161</v>
      </c>
      <c r="C36" s="196">
        <v>100</v>
      </c>
      <c r="D36" s="196">
        <v>0</v>
      </c>
      <c r="E36" s="196">
        <f>E35+Tabla12[[#This Row],[Credito]]</f>
        <v>1423.28</v>
      </c>
      <c r="F36" s="205" t="s">
        <v>334</v>
      </c>
    </row>
  </sheetData>
  <pageMargins left="0.75" right="0.75" top="1" bottom="1" header="0.5" footer="0.5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8FBCD-6698-4421-BDEB-505D3C1E4727}">
  <sheetPr codeName="Hoja8">
    <tabColor rgb="FF92D050"/>
  </sheetPr>
  <dimension ref="A1:F19"/>
  <sheetViews>
    <sheetView zoomScale="90" zoomScaleNormal="90" workbookViewId="0">
      <selection activeCell="F10" sqref="F10"/>
    </sheetView>
  </sheetViews>
  <sheetFormatPr baseColWidth="10" defaultColWidth="8" defaultRowHeight="15" x14ac:dyDescent="0.25"/>
  <cols>
    <col min="1" max="1" width="13.125" style="166" customWidth="1"/>
    <col min="2" max="2" width="13.125" style="188" customWidth="1"/>
    <col min="3" max="5" width="13.125" style="192" customWidth="1"/>
    <col min="6" max="6" width="105" style="179" customWidth="1"/>
    <col min="7" max="16384" width="8" style="6"/>
  </cols>
  <sheetData>
    <row r="1" spans="1:6" ht="30" customHeight="1" x14ac:dyDescent="0.25">
      <c r="A1" s="183" t="s">
        <v>144</v>
      </c>
      <c r="B1" s="186" t="s">
        <v>145</v>
      </c>
      <c r="C1" s="189" t="s">
        <v>146</v>
      </c>
      <c r="D1" s="189" t="s">
        <v>147</v>
      </c>
      <c r="E1" s="189" t="s">
        <v>148</v>
      </c>
      <c r="F1" s="193" t="s">
        <v>134</v>
      </c>
    </row>
    <row r="2" spans="1:6" ht="20.100000000000001" customHeight="1" x14ac:dyDescent="0.25">
      <c r="A2" s="184">
        <v>42005</v>
      </c>
      <c r="B2" s="17" t="s">
        <v>149</v>
      </c>
      <c r="C2" s="148">
        <v>60000</v>
      </c>
      <c r="D2" s="148">
        <v>0</v>
      </c>
      <c r="E2" s="148">
        <v>60000</v>
      </c>
      <c r="F2" s="194" t="s">
        <v>164</v>
      </c>
    </row>
    <row r="3" spans="1:6" ht="20.100000000000001" customHeight="1" x14ac:dyDescent="0.25">
      <c r="A3" s="184">
        <v>42754</v>
      </c>
      <c r="B3" s="17" t="s">
        <v>149</v>
      </c>
      <c r="C3" s="148">
        <v>1650</v>
      </c>
      <c r="D3" s="148">
        <v>0</v>
      </c>
      <c r="E3" s="148">
        <v>61650</v>
      </c>
      <c r="F3" s="194"/>
    </row>
    <row r="4" spans="1:6" ht="20.100000000000001" customHeight="1" x14ac:dyDescent="0.25">
      <c r="A4" s="184">
        <v>43045</v>
      </c>
      <c r="B4" s="17" t="s">
        <v>149</v>
      </c>
      <c r="C4" s="148">
        <v>1000</v>
      </c>
      <c r="D4" s="148">
        <v>0</v>
      </c>
      <c r="E4" s="148">
        <v>62650</v>
      </c>
      <c r="F4" s="194" t="s">
        <v>165</v>
      </c>
    </row>
    <row r="5" spans="1:6" ht="20.100000000000001" customHeight="1" x14ac:dyDescent="0.25">
      <c r="A5" s="184">
        <v>43242</v>
      </c>
      <c r="B5" s="17" t="s">
        <v>149</v>
      </c>
      <c r="C5" s="148">
        <v>10000</v>
      </c>
      <c r="D5" s="148">
        <v>0</v>
      </c>
      <c r="E5" s="148">
        <v>72650</v>
      </c>
      <c r="F5" s="194" t="s">
        <v>166</v>
      </c>
    </row>
    <row r="6" spans="1:6" ht="20.100000000000001" customHeight="1" x14ac:dyDescent="0.25">
      <c r="A6" s="184">
        <v>43433</v>
      </c>
      <c r="B6" s="17" t="s">
        <v>151</v>
      </c>
      <c r="C6" s="148">
        <v>0</v>
      </c>
      <c r="D6" s="148">
        <v>-5200</v>
      </c>
      <c r="E6" s="148">
        <v>67450</v>
      </c>
      <c r="F6" s="194" t="s">
        <v>167</v>
      </c>
    </row>
    <row r="7" spans="1:6" ht="20.100000000000001" customHeight="1" x14ac:dyDescent="0.25">
      <c r="A7" s="184">
        <v>43711</v>
      </c>
      <c r="B7" s="17" t="s">
        <v>149</v>
      </c>
      <c r="C7" s="148">
        <v>7500</v>
      </c>
      <c r="D7" s="148">
        <v>0</v>
      </c>
      <c r="E7" s="148">
        <v>74950</v>
      </c>
      <c r="F7" s="194" t="s">
        <v>168</v>
      </c>
    </row>
    <row r="8" spans="1:6" ht="20.100000000000001" customHeight="1" x14ac:dyDescent="0.25">
      <c r="A8" s="184">
        <v>43817</v>
      </c>
      <c r="B8" s="17" t="s">
        <v>149</v>
      </c>
      <c r="C8" s="148">
        <v>400</v>
      </c>
      <c r="D8" s="148">
        <v>0</v>
      </c>
      <c r="E8" s="148">
        <v>75350</v>
      </c>
      <c r="F8" s="194" t="s">
        <v>169</v>
      </c>
    </row>
    <row r="9" spans="1:6" ht="20.100000000000001" customHeight="1" x14ac:dyDescent="0.25">
      <c r="A9" s="184">
        <v>43819</v>
      </c>
      <c r="B9" s="17" t="s">
        <v>149</v>
      </c>
      <c r="C9" s="148">
        <v>400</v>
      </c>
      <c r="D9" s="148">
        <v>0</v>
      </c>
      <c r="E9" s="148">
        <v>75750</v>
      </c>
      <c r="F9" s="194" t="s">
        <v>170</v>
      </c>
    </row>
    <row r="10" spans="1:6" ht="20.100000000000001" customHeight="1" x14ac:dyDescent="0.25">
      <c r="A10" s="184">
        <v>43819</v>
      </c>
      <c r="B10" s="17" t="s">
        <v>149</v>
      </c>
      <c r="C10" s="148">
        <v>22000</v>
      </c>
      <c r="D10" s="148">
        <v>0</v>
      </c>
      <c r="E10" s="148">
        <v>97750</v>
      </c>
      <c r="F10" s="194" t="s">
        <v>171</v>
      </c>
    </row>
    <row r="11" spans="1:6" ht="20.100000000000001" customHeight="1" x14ac:dyDescent="0.25">
      <c r="A11" s="184">
        <v>44188</v>
      </c>
      <c r="B11" s="17" t="s">
        <v>149</v>
      </c>
      <c r="C11" s="148">
        <v>0</v>
      </c>
      <c r="D11" s="148">
        <v>-1500</v>
      </c>
      <c r="E11" s="148">
        <v>96250</v>
      </c>
      <c r="F11" s="194" t="s">
        <v>172</v>
      </c>
    </row>
    <row r="12" spans="1:6" ht="20.100000000000001" customHeight="1" x14ac:dyDescent="0.25">
      <c r="A12" s="185">
        <v>44308</v>
      </c>
      <c r="B12" s="187" t="s">
        <v>149</v>
      </c>
      <c r="C12" s="190">
        <v>4500</v>
      </c>
      <c r="D12" s="190">
        <v>0</v>
      </c>
      <c r="E12" s="190">
        <v>100750</v>
      </c>
      <c r="F12" s="195" t="s">
        <v>173</v>
      </c>
    </row>
    <row r="13" spans="1:6" ht="30" customHeight="1" x14ac:dyDescent="0.25">
      <c r="A13" s="165"/>
      <c r="B13" s="43"/>
      <c r="C13" s="191"/>
      <c r="D13" s="191"/>
      <c r="E13" s="191"/>
      <c r="F13" s="178"/>
    </row>
    <row r="14" spans="1:6" ht="30" customHeight="1" x14ac:dyDescent="0.25">
      <c r="A14" s="165"/>
      <c r="B14" s="43"/>
      <c r="C14" s="191"/>
      <c r="D14" s="191"/>
      <c r="E14" s="191"/>
      <c r="F14" s="178"/>
    </row>
    <row r="15" spans="1:6" ht="30" customHeight="1" x14ac:dyDescent="0.25">
      <c r="A15" s="165"/>
      <c r="B15" s="43"/>
      <c r="C15" s="191"/>
      <c r="D15" s="191"/>
      <c r="E15" s="191"/>
      <c r="F15" s="178"/>
    </row>
    <row r="16" spans="1:6" ht="30" customHeight="1" x14ac:dyDescent="0.25">
      <c r="A16" s="165"/>
      <c r="B16" s="43"/>
      <c r="C16" s="191"/>
      <c r="D16" s="191"/>
      <c r="E16" s="191"/>
      <c r="F16" s="178"/>
    </row>
    <row r="17" spans="1:6" ht="30" customHeight="1" x14ac:dyDescent="0.25">
      <c r="A17" s="165"/>
      <c r="B17" s="43"/>
      <c r="C17" s="191"/>
      <c r="D17" s="191"/>
      <c r="E17" s="191"/>
      <c r="F17" s="178"/>
    </row>
    <row r="18" spans="1:6" ht="30" customHeight="1" x14ac:dyDescent="0.25">
      <c r="A18" s="165"/>
      <c r="B18" s="43"/>
      <c r="C18" s="191"/>
      <c r="D18" s="191"/>
      <c r="E18" s="191"/>
      <c r="F18" s="178"/>
    </row>
    <row r="19" spans="1:6" ht="30" customHeight="1" x14ac:dyDescent="0.25">
      <c r="A19" s="165"/>
      <c r="B19" s="43"/>
      <c r="C19" s="191"/>
      <c r="D19" s="191"/>
      <c r="E19" s="191"/>
      <c r="F19" s="178"/>
    </row>
  </sheetData>
  <pageMargins left="0.75" right="0.75" top="1" bottom="1" header="0.5" footer="0.5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635E2-DFDA-4568-83F6-393DBC599458}">
  <sheetPr codeName="Hoja9">
    <tabColor theme="8" tint="-0.249977111117893"/>
  </sheetPr>
  <dimension ref="B1:Q55"/>
  <sheetViews>
    <sheetView topLeftCell="A7" zoomScale="80" zoomScaleNormal="80" workbookViewId="0">
      <selection activeCell="B29" sqref="B29:O29"/>
    </sheetView>
  </sheetViews>
  <sheetFormatPr baseColWidth="10" defaultColWidth="10" defaultRowHeight="12.75" x14ac:dyDescent="0.2"/>
  <cols>
    <col min="1" max="1" width="2.75" style="78" customWidth="1"/>
    <col min="2" max="2" width="31.25" style="78" customWidth="1"/>
    <col min="3" max="5" width="11.125" style="78" customWidth="1"/>
    <col min="6" max="6" width="11.125" style="77" customWidth="1"/>
    <col min="7" max="14" width="11.125" style="78" customWidth="1"/>
    <col min="15" max="15" width="18.125" style="78" customWidth="1"/>
    <col min="16" max="16" width="34" style="78" customWidth="1"/>
    <col min="17" max="17" width="18.125" style="78" customWidth="1"/>
    <col min="18" max="18" width="10" style="78"/>
    <col min="19" max="19" width="23.25" style="78" customWidth="1"/>
    <col min="20" max="16384" width="10" style="78"/>
  </cols>
  <sheetData>
    <row r="1" spans="2:16" ht="13.5" thickBot="1" x14ac:dyDescent="0.25"/>
    <row r="2" spans="2:16" ht="12.75" customHeight="1" x14ac:dyDescent="0.2">
      <c r="B2" s="267" t="s">
        <v>174</v>
      </c>
      <c r="C2" s="268"/>
      <c r="D2" s="268"/>
      <c r="E2" s="268"/>
      <c r="F2" s="268"/>
      <c r="G2" s="268"/>
      <c r="H2" s="268"/>
      <c r="I2" s="269"/>
      <c r="K2" s="276">
        <v>2022</v>
      </c>
      <c r="L2" s="277"/>
    </row>
    <row r="3" spans="2:16" ht="12.75" customHeight="1" x14ac:dyDescent="0.2">
      <c r="B3" s="270"/>
      <c r="C3" s="271"/>
      <c r="D3" s="271"/>
      <c r="E3" s="271"/>
      <c r="F3" s="271"/>
      <c r="G3" s="271"/>
      <c r="H3" s="271"/>
      <c r="I3" s="272"/>
      <c r="K3" s="278"/>
      <c r="L3" s="279"/>
    </row>
    <row r="4" spans="2:16" ht="12.75" customHeight="1" x14ac:dyDescent="0.2">
      <c r="B4" s="270"/>
      <c r="C4" s="271"/>
      <c r="D4" s="271"/>
      <c r="E4" s="271"/>
      <c r="F4" s="271"/>
      <c r="G4" s="271"/>
      <c r="H4" s="271"/>
      <c r="I4" s="272"/>
      <c r="K4" s="278"/>
      <c r="L4" s="279"/>
    </row>
    <row r="5" spans="2:16" ht="12.75" customHeight="1" x14ac:dyDescent="0.2">
      <c r="B5" s="270"/>
      <c r="C5" s="271"/>
      <c r="D5" s="271"/>
      <c r="E5" s="271"/>
      <c r="F5" s="271"/>
      <c r="G5" s="271"/>
      <c r="H5" s="271"/>
      <c r="I5" s="272"/>
      <c r="K5" s="278"/>
      <c r="L5" s="279"/>
    </row>
    <row r="6" spans="2:16" ht="12.75" customHeight="1" thickBot="1" x14ac:dyDescent="0.25">
      <c r="B6" s="273"/>
      <c r="C6" s="274"/>
      <c r="D6" s="274"/>
      <c r="E6" s="274"/>
      <c r="F6" s="274"/>
      <c r="G6" s="274"/>
      <c r="H6" s="274"/>
      <c r="I6" s="275"/>
      <c r="K6" s="280"/>
      <c r="L6" s="281"/>
    </row>
    <row r="7" spans="2:16" ht="12.75" customHeight="1" x14ac:dyDescent="0.2">
      <c r="B7" s="116"/>
      <c r="C7" s="116"/>
      <c r="D7" s="116"/>
      <c r="E7" s="116"/>
      <c r="F7" s="116"/>
      <c r="G7" s="116"/>
      <c r="H7" s="116"/>
      <c r="I7" s="116"/>
      <c r="K7" s="117"/>
      <c r="L7" s="117"/>
    </row>
    <row r="8" spans="2:16" ht="30" customHeight="1" x14ac:dyDescent="0.2">
      <c r="B8" s="282" t="s">
        <v>175</v>
      </c>
      <c r="C8" s="283"/>
      <c r="D8" s="283"/>
      <c r="E8" s="283"/>
      <c r="F8" s="283"/>
      <c r="G8" s="283"/>
      <c r="H8" s="283"/>
      <c r="I8" s="283"/>
      <c r="J8" s="283"/>
      <c r="K8" s="283"/>
      <c r="L8" s="284"/>
    </row>
    <row r="9" spans="2:16" ht="12.75" customHeight="1" x14ac:dyDescent="0.2">
      <c r="B9" s="116"/>
      <c r="C9" s="116"/>
      <c r="D9" s="116"/>
      <c r="E9" s="116"/>
      <c r="F9" s="116"/>
      <c r="G9" s="116"/>
      <c r="H9" s="116"/>
      <c r="I9" s="116"/>
      <c r="K9" s="118"/>
      <c r="L9" s="118"/>
    </row>
    <row r="10" spans="2:16" ht="12.75" customHeight="1" thickBot="1" x14ac:dyDescent="0.25">
      <c r="B10" s="116"/>
      <c r="C10" s="116"/>
      <c r="D10" s="116"/>
      <c r="E10" s="116"/>
      <c r="F10" s="116"/>
      <c r="G10" s="116"/>
      <c r="H10" s="116"/>
      <c r="I10" s="116"/>
      <c r="K10" s="118"/>
      <c r="L10" s="118"/>
    </row>
    <row r="11" spans="2:16" ht="39.950000000000003" customHeight="1" thickBot="1" x14ac:dyDescent="0.25">
      <c r="B11" s="119" t="s">
        <v>95</v>
      </c>
      <c r="C11" s="57" t="s">
        <v>76</v>
      </c>
      <c r="D11" s="57" t="s">
        <v>77</v>
      </c>
      <c r="E11" s="57" t="s">
        <v>78</v>
      </c>
      <c r="F11" s="57" t="s">
        <v>79</v>
      </c>
      <c r="G11" s="57" t="s">
        <v>80</v>
      </c>
      <c r="H11" s="57" t="s">
        <v>81</v>
      </c>
      <c r="I11" s="57" t="s">
        <v>82</v>
      </c>
      <c r="J11" s="57" t="s">
        <v>83</v>
      </c>
      <c r="K11" s="57" t="s">
        <v>84</v>
      </c>
      <c r="L11" s="57" t="s">
        <v>85</v>
      </c>
      <c r="M11" s="57" t="s">
        <v>86</v>
      </c>
      <c r="N11" s="57" t="s">
        <v>87</v>
      </c>
      <c r="O11" s="120" t="s">
        <v>176</v>
      </c>
    </row>
    <row r="12" spans="2:16" ht="30" customHeight="1" x14ac:dyDescent="0.2">
      <c r="B12" s="121" t="s">
        <v>177</v>
      </c>
      <c r="C12" s="209"/>
      <c r="D12" s="209"/>
      <c r="E12" s="209"/>
      <c r="F12" s="209"/>
      <c r="G12" s="209"/>
      <c r="H12" s="209"/>
      <c r="I12" s="209"/>
      <c r="J12" s="209"/>
      <c r="K12" s="209"/>
      <c r="L12" s="209"/>
      <c r="M12" s="209"/>
      <c r="N12" s="209"/>
      <c r="O12" s="122"/>
    </row>
    <row r="13" spans="2:16" ht="30" customHeight="1" x14ac:dyDescent="0.2">
      <c r="B13" s="123" t="s">
        <v>178</v>
      </c>
      <c r="C13" s="218">
        <v>7024.86</v>
      </c>
      <c r="D13" s="218">
        <v>137297.54</v>
      </c>
      <c r="E13" s="218">
        <v>124377.22</v>
      </c>
      <c r="F13" s="218"/>
      <c r="G13" s="218"/>
      <c r="H13" s="218"/>
      <c r="I13" s="218"/>
      <c r="J13" s="218"/>
      <c r="K13" s="218"/>
      <c r="L13" s="218"/>
      <c r="M13" s="218"/>
      <c r="N13" s="218"/>
      <c r="O13" s="210" t="s">
        <v>179</v>
      </c>
    </row>
    <row r="14" spans="2:16" ht="30" customHeight="1" x14ac:dyDescent="0.2">
      <c r="B14" s="208" t="s">
        <v>182</v>
      </c>
      <c r="C14" s="219">
        <v>1224.01</v>
      </c>
      <c r="D14" s="219">
        <v>1324.11</v>
      </c>
      <c r="E14" s="219">
        <v>1424.23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1" t="s">
        <v>183</v>
      </c>
    </row>
    <row r="15" spans="2:16" ht="30" customHeight="1" x14ac:dyDescent="0.2">
      <c r="B15" s="208" t="s">
        <v>184</v>
      </c>
      <c r="C15" s="219">
        <v>100750</v>
      </c>
      <c r="D15" s="219">
        <v>100750</v>
      </c>
      <c r="E15" s="219">
        <v>100750</v>
      </c>
      <c r="F15" s="219"/>
      <c r="G15" s="219"/>
      <c r="H15" s="219"/>
      <c r="I15" s="219"/>
      <c r="J15" s="219"/>
      <c r="K15" s="219"/>
      <c r="L15" s="219"/>
      <c r="M15" s="219"/>
      <c r="N15" s="219"/>
      <c r="O15" s="211"/>
      <c r="P15" s="124"/>
    </row>
    <row r="16" spans="2:16" ht="30" customHeight="1" thickBot="1" x14ac:dyDescent="0.25">
      <c r="B16" s="230" t="s">
        <v>185</v>
      </c>
      <c r="C16" s="231">
        <v>250000</v>
      </c>
      <c r="D16" s="231" t="s">
        <v>338</v>
      </c>
      <c r="E16" s="231" t="s">
        <v>338</v>
      </c>
      <c r="F16" s="231"/>
      <c r="G16" s="231"/>
      <c r="H16" s="231"/>
      <c r="I16" s="231"/>
      <c r="J16" s="231"/>
      <c r="K16" s="231"/>
      <c r="L16" s="231"/>
      <c r="M16" s="231"/>
      <c r="N16" s="231"/>
      <c r="O16" s="232"/>
    </row>
    <row r="17" spans="2:17" ht="30" customHeight="1" x14ac:dyDescent="0.2">
      <c r="B17" s="233" t="s">
        <v>186</v>
      </c>
      <c r="C17" s="234"/>
      <c r="D17" s="234"/>
      <c r="E17" s="234"/>
      <c r="F17" s="234"/>
      <c r="G17" s="234"/>
      <c r="H17" s="234"/>
      <c r="I17" s="234"/>
      <c r="J17" s="234"/>
      <c r="K17" s="234"/>
      <c r="L17" s="234"/>
      <c r="M17" s="234"/>
      <c r="N17" s="234"/>
      <c r="O17" s="235"/>
    </row>
    <row r="18" spans="2:17" ht="30" customHeight="1" thickBot="1" x14ac:dyDescent="0.25">
      <c r="B18" s="125" t="s">
        <v>187</v>
      </c>
      <c r="C18" s="221"/>
      <c r="D18" s="221"/>
      <c r="E18" s="221"/>
      <c r="F18" s="221"/>
      <c r="G18" s="221"/>
      <c r="H18" s="221"/>
      <c r="I18" s="221"/>
      <c r="J18" s="221"/>
      <c r="K18" s="221"/>
      <c r="L18" s="221"/>
      <c r="M18" s="220"/>
      <c r="N18" s="220"/>
      <c r="O18" s="212"/>
      <c r="P18" s="126"/>
      <c r="Q18" s="126"/>
    </row>
    <row r="19" spans="2:17" ht="30" customHeight="1" thickBot="1" x14ac:dyDescent="0.25">
      <c r="B19" s="127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9"/>
      <c r="N19" s="129"/>
      <c r="O19" s="130"/>
      <c r="P19" s="126"/>
      <c r="Q19" s="126"/>
    </row>
    <row r="20" spans="2:17" ht="30" customHeight="1" thickBot="1" x14ac:dyDescent="0.25">
      <c r="B20" s="131" t="s">
        <v>188</v>
      </c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M20" s="133"/>
      <c r="N20" s="133"/>
      <c r="O20" s="134"/>
      <c r="P20" s="126"/>
      <c r="Q20" s="126"/>
    </row>
    <row r="21" spans="2:17" ht="30" customHeight="1" x14ac:dyDescent="0.2">
      <c r="B21" s="213" t="s">
        <v>180</v>
      </c>
      <c r="C21" s="217"/>
      <c r="D21" s="217"/>
      <c r="E21" s="217"/>
      <c r="F21" s="217"/>
      <c r="G21" s="217"/>
      <c r="H21" s="217"/>
      <c r="I21" s="217"/>
      <c r="J21" s="217"/>
      <c r="K21" s="217"/>
      <c r="L21" s="217"/>
      <c r="M21" s="217"/>
      <c r="N21" s="217"/>
      <c r="O21" s="207" t="s">
        <v>181</v>
      </c>
      <c r="P21" s="126"/>
      <c r="Q21" s="126"/>
    </row>
    <row r="22" spans="2:17" ht="23.25" customHeight="1" thickBot="1" x14ac:dyDescent="0.25"/>
    <row r="23" spans="2:17" ht="30" customHeight="1" thickBot="1" x14ac:dyDescent="0.25">
      <c r="B23" s="288" t="s">
        <v>189</v>
      </c>
      <c r="C23" s="289"/>
      <c r="D23" s="289"/>
      <c r="E23" s="289"/>
      <c r="F23" s="289"/>
      <c r="G23" s="289"/>
      <c r="H23" s="289"/>
      <c r="I23" s="289"/>
      <c r="J23" s="289"/>
      <c r="K23" s="289"/>
      <c r="L23" s="289"/>
      <c r="M23" s="289"/>
      <c r="N23" s="289"/>
      <c r="O23" s="290"/>
    </row>
    <row r="24" spans="2:17" ht="24.95" customHeight="1" x14ac:dyDescent="0.2">
      <c r="B24" s="285" t="s">
        <v>190</v>
      </c>
      <c r="C24" s="286"/>
      <c r="D24" s="286"/>
      <c r="E24" s="286"/>
      <c r="F24" s="286"/>
      <c r="G24" s="287" t="s">
        <v>191</v>
      </c>
      <c r="H24" s="287"/>
      <c r="I24" s="287"/>
      <c r="J24" s="291" t="s">
        <v>192</v>
      </c>
      <c r="K24" s="291"/>
      <c r="L24" s="291"/>
      <c r="M24" s="291"/>
      <c r="N24" s="291"/>
      <c r="O24" s="292"/>
      <c r="P24" s="214"/>
      <c r="Q24" s="136"/>
    </row>
    <row r="25" spans="2:17" ht="24.95" customHeight="1" x14ac:dyDescent="0.2">
      <c r="B25" s="300" t="s">
        <v>193</v>
      </c>
      <c r="C25" s="301"/>
      <c r="D25" s="301"/>
      <c r="E25" s="301"/>
      <c r="F25" s="301"/>
      <c r="G25" s="311" t="s">
        <v>194</v>
      </c>
      <c r="H25" s="311"/>
      <c r="I25" s="311"/>
      <c r="J25" s="315" t="s">
        <v>192</v>
      </c>
      <c r="K25" s="315"/>
      <c r="L25" s="315"/>
      <c r="M25" s="315"/>
      <c r="N25" s="315"/>
      <c r="O25" s="316"/>
      <c r="P25" s="214"/>
      <c r="Q25" s="136"/>
    </row>
    <row r="26" spans="2:17" ht="36" customHeight="1" thickBot="1" x14ac:dyDescent="0.25">
      <c r="B26" s="312" t="s">
        <v>195</v>
      </c>
      <c r="C26" s="313"/>
      <c r="D26" s="313"/>
      <c r="E26" s="313"/>
      <c r="F26" s="313"/>
      <c r="G26" s="314" t="s">
        <v>196</v>
      </c>
      <c r="H26" s="314"/>
      <c r="I26" s="314"/>
      <c r="J26" s="317" t="s">
        <v>197</v>
      </c>
      <c r="K26" s="317"/>
      <c r="L26" s="317"/>
      <c r="M26" s="317"/>
      <c r="N26" s="317"/>
      <c r="O26" s="318"/>
      <c r="P26" s="154"/>
    </row>
    <row r="27" spans="2:17" ht="24.95" customHeight="1" x14ac:dyDescent="0.2">
      <c r="B27" s="215"/>
      <c r="C27" s="215"/>
      <c r="D27" s="215"/>
      <c r="E27" s="215"/>
      <c r="F27" s="215"/>
      <c r="G27" s="216"/>
      <c r="H27" s="216"/>
      <c r="I27" s="216"/>
      <c r="K27" s="136"/>
      <c r="L27" s="136"/>
      <c r="M27" s="136"/>
      <c r="N27" s="136"/>
      <c r="O27" s="77"/>
    </row>
    <row r="28" spans="2:17" ht="24.95" customHeight="1" thickBot="1" x14ac:dyDescent="0.25">
      <c r="E28" s="137"/>
      <c r="K28" s="136"/>
      <c r="L28" s="136"/>
      <c r="M28" s="136"/>
      <c r="N28" s="136"/>
      <c r="O28" s="124"/>
    </row>
    <row r="29" spans="2:17" ht="30" customHeight="1" thickBot="1" x14ac:dyDescent="0.25">
      <c r="B29" s="302" t="s">
        <v>198</v>
      </c>
      <c r="C29" s="303"/>
      <c r="D29" s="303"/>
      <c r="E29" s="303"/>
      <c r="F29" s="303"/>
      <c r="G29" s="303"/>
      <c r="H29" s="303"/>
      <c r="I29" s="303"/>
      <c r="J29" s="303"/>
      <c r="K29" s="303"/>
      <c r="L29" s="303"/>
      <c r="M29" s="303"/>
      <c r="N29" s="303"/>
      <c r="O29" s="304"/>
    </row>
    <row r="30" spans="2:17" ht="30" customHeight="1" x14ac:dyDescent="0.2">
      <c r="B30" s="294" t="s">
        <v>199</v>
      </c>
      <c r="C30" s="295"/>
      <c r="D30" s="295"/>
      <c r="E30" s="222" t="s">
        <v>200</v>
      </c>
      <c r="F30" s="223" t="s">
        <v>201</v>
      </c>
      <c r="G30" s="295" t="s">
        <v>202</v>
      </c>
      <c r="H30" s="295"/>
      <c r="I30" s="295"/>
      <c r="J30" s="295"/>
      <c r="K30" s="295"/>
      <c r="L30" s="295"/>
      <c r="M30" s="295"/>
      <c r="N30" s="295"/>
      <c r="O30" s="305"/>
      <c r="P30" s="138"/>
    </row>
    <row r="31" spans="2:17" ht="24.95" customHeight="1" x14ac:dyDescent="0.2">
      <c r="B31" s="296" t="s">
        <v>203</v>
      </c>
      <c r="C31" s="297"/>
      <c r="D31" s="297"/>
      <c r="E31" s="224" t="s">
        <v>204</v>
      </c>
      <c r="F31" s="225">
        <v>40360</v>
      </c>
      <c r="G31" s="299" t="s">
        <v>205</v>
      </c>
      <c r="H31" s="299"/>
      <c r="I31" s="299"/>
      <c r="J31" s="299"/>
      <c r="K31" s="299"/>
      <c r="L31" s="299"/>
      <c r="M31" s="299"/>
      <c r="N31" s="299"/>
      <c r="O31" s="306"/>
    </row>
    <row r="32" spans="2:17" ht="24.95" customHeight="1" x14ac:dyDescent="0.2">
      <c r="B32" s="298" t="s">
        <v>206</v>
      </c>
      <c r="C32" s="299"/>
      <c r="D32" s="299"/>
      <c r="E32" s="226" t="s">
        <v>207</v>
      </c>
      <c r="F32" s="227">
        <v>378000</v>
      </c>
      <c r="G32" s="299" t="s">
        <v>208</v>
      </c>
      <c r="H32" s="299"/>
      <c r="I32" s="299"/>
      <c r="J32" s="299"/>
      <c r="K32" s="299"/>
      <c r="L32" s="299"/>
      <c r="M32" s="299"/>
      <c r="N32" s="299"/>
      <c r="O32" s="306"/>
    </row>
    <row r="33" spans="2:15" ht="24.95" customHeight="1" thickBot="1" x14ac:dyDescent="0.25">
      <c r="B33" s="309" t="s">
        <v>209</v>
      </c>
      <c r="C33" s="310"/>
      <c r="D33" s="310"/>
      <c r="E33" s="228" t="s">
        <v>210</v>
      </c>
      <c r="F33" s="229">
        <v>300000</v>
      </c>
      <c r="G33" s="307" t="s">
        <v>211</v>
      </c>
      <c r="H33" s="307"/>
      <c r="I33" s="307"/>
      <c r="J33" s="307"/>
      <c r="K33" s="307"/>
      <c r="L33" s="307"/>
      <c r="M33" s="307"/>
      <c r="N33" s="307"/>
      <c r="O33" s="308"/>
    </row>
    <row r="34" spans="2:15" ht="24.95" customHeight="1" x14ac:dyDescent="0.2">
      <c r="B34" s="139"/>
      <c r="C34" s="135"/>
      <c r="D34" s="135"/>
      <c r="K34" s="136"/>
      <c r="L34" s="136"/>
      <c r="M34" s="136"/>
      <c r="N34" s="140"/>
      <c r="O34" s="141"/>
    </row>
    <row r="35" spans="2:15" ht="24.95" customHeight="1" x14ac:dyDescent="0.2">
      <c r="B35" s="139"/>
      <c r="C35" s="135"/>
      <c r="D35" s="135"/>
      <c r="K35" s="136"/>
      <c r="L35" s="136"/>
      <c r="M35" s="136"/>
      <c r="N35" s="136"/>
      <c r="O35" s="77"/>
    </row>
    <row r="36" spans="2:15" ht="24.95" customHeight="1" x14ac:dyDescent="0.2">
      <c r="B36" s="139"/>
      <c r="C36" s="135"/>
      <c r="D36" s="135"/>
      <c r="G36" s="142"/>
    </row>
    <row r="37" spans="2:15" ht="24.95" customHeight="1" x14ac:dyDescent="0.2">
      <c r="B37" s="293" t="s">
        <v>212</v>
      </c>
      <c r="C37" s="293"/>
      <c r="D37" s="293"/>
      <c r="G37" s="142"/>
    </row>
    <row r="38" spans="2:15" ht="24.95" customHeight="1" x14ac:dyDescent="0.2">
      <c r="B38" s="293"/>
      <c r="C38" s="293"/>
      <c r="D38" s="293"/>
      <c r="G38" s="142"/>
    </row>
    <row r="39" spans="2:15" ht="24.95" customHeight="1" x14ac:dyDescent="0.2">
      <c r="G39" s="142"/>
    </row>
    <row r="40" spans="2:15" ht="24.95" customHeight="1" x14ac:dyDescent="0.2"/>
    <row r="41" spans="2:15" ht="24.95" customHeight="1" x14ac:dyDescent="0.2"/>
    <row r="42" spans="2:15" ht="24.95" customHeight="1" x14ac:dyDescent="0.2"/>
    <row r="43" spans="2:15" ht="24.95" customHeight="1" x14ac:dyDescent="0.2"/>
    <row r="44" spans="2:15" ht="24.95" customHeight="1" x14ac:dyDescent="0.2"/>
    <row r="45" spans="2:15" ht="24.95" customHeight="1" x14ac:dyDescent="0.2"/>
    <row r="46" spans="2:15" ht="24.95" customHeight="1" x14ac:dyDescent="0.2"/>
    <row r="47" spans="2:15" ht="24.95" customHeight="1" x14ac:dyDescent="0.2"/>
    <row r="48" spans="2:15" ht="24.95" customHeight="1" x14ac:dyDescent="0.2"/>
    <row r="49" ht="24.95" customHeight="1" x14ac:dyDescent="0.2"/>
    <row r="50" ht="24.95" customHeight="1" x14ac:dyDescent="0.2"/>
    <row r="51" ht="24.95" customHeight="1" x14ac:dyDescent="0.2"/>
    <row r="52" ht="24.95" customHeight="1" x14ac:dyDescent="0.2"/>
    <row r="53" ht="24.95" customHeight="1" x14ac:dyDescent="0.2"/>
    <row r="54" ht="24.95" customHeight="1" x14ac:dyDescent="0.2"/>
    <row r="55" ht="24.95" customHeight="1" x14ac:dyDescent="0.2"/>
  </sheetData>
  <mergeCells count="23">
    <mergeCell ref="B37:D38"/>
    <mergeCell ref="B30:D30"/>
    <mergeCell ref="B31:D31"/>
    <mergeCell ref="B32:D32"/>
    <mergeCell ref="B25:F25"/>
    <mergeCell ref="B29:O29"/>
    <mergeCell ref="G30:O30"/>
    <mergeCell ref="G31:O31"/>
    <mergeCell ref="G32:O32"/>
    <mergeCell ref="G33:O33"/>
    <mergeCell ref="B33:D33"/>
    <mergeCell ref="G25:I25"/>
    <mergeCell ref="B26:F26"/>
    <mergeCell ref="G26:I26"/>
    <mergeCell ref="J25:O25"/>
    <mergeCell ref="J26:O26"/>
    <mergeCell ref="B2:I6"/>
    <mergeCell ref="K2:L6"/>
    <mergeCell ref="B8:L8"/>
    <mergeCell ref="B24:F24"/>
    <mergeCell ref="G24:I24"/>
    <mergeCell ref="B23:O23"/>
    <mergeCell ref="J24:O24"/>
  </mergeCell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Menu</vt:lpstr>
      <vt:lpstr>Mensajes</vt:lpstr>
      <vt:lpstr>Ene</vt:lpstr>
      <vt:lpstr>Ene_Debitos</vt:lpstr>
      <vt:lpstr>Ene_Creditos</vt:lpstr>
      <vt:lpstr>Ene_Efectivo</vt:lpstr>
      <vt:lpstr>Feb</vt:lpstr>
      <vt:lpstr>Feb_Debitos</vt:lpstr>
      <vt:lpstr>Feb_Creditos</vt:lpstr>
      <vt:lpstr>Feb_Efectivo</vt:lpstr>
      <vt:lpstr>Mar</vt:lpstr>
      <vt:lpstr>Mar_Debitos</vt:lpstr>
      <vt:lpstr>Mar_Creditos</vt:lpstr>
      <vt:lpstr>Mar_Efectivo</vt:lpstr>
      <vt:lpstr>Impuestos</vt:lpstr>
      <vt:lpstr>Gastos</vt:lpstr>
      <vt:lpstr>Saldo Mensual</vt:lpstr>
      <vt:lpstr>Prestamos</vt:lpstr>
      <vt:lpstr>Plazo Fijo</vt:lpstr>
      <vt:lpstr>CA Dolares</vt:lpstr>
      <vt:lpstr>CSeg Dolares</vt:lpstr>
      <vt:lpstr>Patrimonio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Daniel Busso</cp:lastModifiedBy>
  <dcterms:created xsi:type="dcterms:W3CDTF">2015-01-25T11:31:25Z</dcterms:created>
  <dcterms:modified xsi:type="dcterms:W3CDTF">2022-04-20T13:21:27Z</dcterms:modified>
</cp:coreProperties>
</file>